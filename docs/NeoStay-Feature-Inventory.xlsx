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Feature inventory" sheetId="2" state="visible" r:id="rId4"/>
    <sheet name="Summary" sheetId="3" state="visible" r:id="rId5"/>
  </sheets>
  <definedNames>
    <definedName function="false" hidden="false" localSheetId="1" name="_xlnm.Print_Titles" vbProcedure="false">'Feature inventory'!$4:$4</definedName>
    <definedName function="false" hidden="true" localSheetId="1" name="_xlnm._FilterDatabase" vbProcedure="false">'Feature inventory'!$A$4:$I$99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<sst xmlns="http://schemas.openxmlformats.org/spreadsheetml/2006/main" count="845" uniqueCount="485">
  <si>
    <t xml:space="preserve">NeoStay — feature inventory</t>
  </si>
  <si>
    <t xml:space="preserve">Everything NeoStay does today, and everything it still needs. One row per feature.</t>
  </si>
  <si>
    <t xml:space="preserve">What this workbook is for</t>
  </si>
  <si>
    <t xml:space="preserve">A single list of every NeoStay feature, so the project leads and the hospital can agree what already works, what is partly there, and what has to be built or supplied. Use it in a review meeting: read down the list, change the Status where you disagree, and the Summary sheet updates itself.</t>
  </si>
  <si>
    <t xml:space="preserve">How to fill it in</t>
  </si>
  <si>
    <t xml:space="preserve">Work on the 'Feature inventory' sheet. Only three columns are meant to be changed: Status, Priority and Notes. Status and Priority are drop-down lists — click the cell and pick a value. Everything else describes the feature and should be left as it is.</t>
  </si>
  <si>
    <t xml:space="preserve">What the Status values mean</t>
  </si>
  <si>
    <t xml:space="preserve">Status</t>
  </si>
  <si>
    <t xml:space="preserve">Meaning</t>
  </si>
  <si>
    <t xml:space="preserve">Have</t>
  </si>
  <si>
    <t xml:space="preserve">Built and working today. The 'Where it stands today' column names the file or document that proves it.</t>
  </si>
  <si>
    <t xml:space="preserve">Partial</t>
  </si>
  <si>
    <t xml:space="preserve">Something is in place, but not to the standard the hospital needs. The gap is stated in the row.</t>
  </si>
  <si>
    <t xml:space="preserve">Not yet</t>
  </si>
  <si>
    <t xml:space="preserve">Not built. Most of these wait on data or on a decision by the hospital, not on development time.</t>
  </si>
  <si>
    <t xml:space="preserve">Not planned</t>
  </si>
  <si>
    <t xml:space="preserve">Agreed to be out of scope. Nothing in the list carries this value yet — use it to record a decision.</t>
  </si>
  <si>
    <t xml:space="preserve">An example row, filled in</t>
  </si>
  <si>
    <t xml:space="preserve">ID</t>
  </si>
  <si>
    <t xml:space="preserve">Area</t>
  </si>
  <si>
    <t xml:space="preserve">Feature</t>
  </si>
  <si>
    <t xml:space="preserve">Priority</t>
  </si>
  <si>
    <t xml:space="preserve">Notes</t>
  </si>
  <si>
    <t xml:space="preserve">S-12</t>
  </si>
  <si>
    <t xml:space="preserve">Staffing and rostering</t>
  </si>
  <si>
    <t xml:space="preserve">Named nurses, not counts</t>
  </si>
  <si>
    <t xml:space="preserve">Must</t>
  </si>
  <si>
    <t xml:space="preserve">Workforce list promised by the matron for March; revisit then.</t>
  </si>
  <si>
    <t xml:space="preserve">Shaded cells are the ones you change. Nothing in this workbook contains patient data, and no figure in it is randomly generated: every 'Have' is traceable to a file in the repository or to a document in docs/.</t>
  </si>
  <si>
    <t xml:space="preserve">Project and Clinical Lead</t>
  </si>
  <si>
    <t xml:space="preserve">Waseem Altaf, MD, Neonatologist</t>
  </si>
  <si>
    <t xml:space="preserve">Technical Lead, Lead Developer and Applied AI/Data Science Lead</t>
  </si>
  <si>
    <t xml:space="preserve">Abdul Razak, PhD</t>
  </si>
  <si>
    <t xml:space="preserve">Companion documents</t>
  </si>
  <si>
    <t xml:space="preserve">docs/NeoStay-Project-Dossier.pdf · docs/NeoStay-Data-Requirements.pdf</t>
  </si>
  <si>
    <t xml:space="preserve">Feature inventory</t>
  </si>
  <si>
    <t xml:space="preserve">Change Status, Priority and Notes only. The Summary sheet counts whatever you leave here.</t>
  </si>
  <si>
    <t xml:space="preserve">What it does</t>
  </si>
  <si>
    <t xml:space="preserve">Data or input needed</t>
  </si>
  <si>
    <t xml:space="preserve">Where it stands today</t>
  </si>
  <si>
    <t xml:space="preserve">P-01</t>
  </si>
  <si>
    <t xml:space="preserve">Outcome prediction</t>
  </si>
  <si>
    <t xml:space="preserve">Length-of-stay forecast</t>
  </si>
  <si>
    <t xml:space="preserve">Expected days in the unit for one infant, from birth weight and gestational age.</t>
  </si>
  <si>
    <t xml:space="preserve">Aggregated outcome tables (already held)</t>
  </si>
  <si>
    <t xml:space="preserve">backend/app/predictor.py and frontend/engine.js; interpolated across 11 weight bands and 18 gestational-age groups.</t>
  </si>
  <si>
    <t xml:space="preserve">P-02</t>
  </si>
  <si>
    <t xml:space="preserve">Honest range around the forecast</t>
  </si>
  <si>
    <t xml:space="preserve">Q1-Q3 interval shown with every estimate, so a single number is never quoted alone.</t>
  </si>
  <si>
    <t xml:space="preserve">Quartiles in the outcome tables (already held)</t>
  </si>
  <si>
    <t xml:space="preserve">Interquartile range carried through the same interpolation.</t>
  </si>
  <si>
    <t xml:space="preserve">P-03</t>
  </si>
  <si>
    <t xml:space="preserve">Discharge outcome mix</t>
  </si>
  <si>
    <t xml:space="preserve">Chance of going home, being transferred, or dying, for infants of this size and age.</t>
  </si>
  <si>
    <t xml:space="preserve">By-disposition tables (already held)</t>
  </si>
  <si>
    <t xml:space="preserve">Derived from the recorded counts per band.</t>
  </si>
  <si>
    <t xml:space="preserve">P-04</t>
  </si>
  <si>
    <t xml:space="preserve">Survival estimate</t>
  </si>
  <si>
    <t xml:space="preserve">Survival to discharge for the matched group.</t>
  </si>
  <si>
    <t xml:space="preserve">Shown with the outcome mix on the Predict page.</t>
  </si>
  <si>
    <t xml:space="preserve">P-05</t>
  </si>
  <si>
    <t xml:space="preserve">Confidence grade</t>
  </si>
  <si>
    <t xml:space="preserve">States how many similar infants stand behind the estimate, and grades it high, moderate or low.</t>
  </si>
  <si>
    <t xml:space="preserve">Counts per band (already held)</t>
  </si>
  <si>
    <t xml:space="preserve">Thresholds of 50, 20 and 5 infants.</t>
  </si>
  <si>
    <t xml:space="preserve">P-06</t>
  </si>
  <si>
    <t xml:space="preserve">Condition-on-admission modifier</t>
  </si>
  <si>
    <t xml:space="preserve">Adjusts the forecast for how sick the infant was on admission.</t>
  </si>
  <si>
    <t xml:space="preserve">Should</t>
  </si>
  <si>
    <t xml:space="preserve">Clinical judgement entered by the user</t>
  </si>
  <si>
    <t xml:space="preserve">Fixed multiplier set by the model, not fitted to data.</t>
  </si>
  <si>
    <t xml:space="preserve">P-07</t>
  </si>
  <si>
    <t xml:space="preserve">Breathing-support modifier</t>
  </si>
  <si>
    <t xml:space="preserve">Adjusts the forecast for the level of respiratory support.</t>
  </si>
  <si>
    <t xml:space="preserve">Entered by the user</t>
  </si>
  <si>
    <t xml:space="preserve">P-08</t>
  </si>
  <si>
    <t xml:space="preserve">Care-phase profile for the stay</t>
  </si>
  <si>
    <t xml:space="preserve">Splits the predicted stay into intensive, intermediate and convalescent days.</t>
  </si>
  <si>
    <t xml:space="preserve">None beyond the forecast</t>
  </si>
  <si>
    <t xml:space="preserve">backend/app/nursing.py; drives the nursing workload for one infant.</t>
  </si>
  <si>
    <t xml:space="preserve">P-09</t>
  </si>
  <si>
    <t xml:space="preserve">Model fitted to individual records</t>
  </si>
  <si>
    <t xml:space="preserve">A survival model (accelerated failure time or Cox) trained on this hospital's own patients.</t>
  </si>
  <si>
    <t xml:space="preserve">D1 patient-level records, 3-5 years</t>
  </si>
  <si>
    <t xml:space="preserve">Cannot be built from aggregated tables; needs the data request in the Data and Feature Requirements document.</t>
  </si>
  <si>
    <t xml:space="preserve">P-10</t>
  </si>
  <si>
    <t xml:space="preserve">Competing risks handled properly</t>
  </si>
  <si>
    <t xml:space="preserve">Separates discharge home from death and transfer instead of treating them as one event.</t>
  </si>
  <si>
    <t xml:space="preserve">D1 patient-level records with outcome and date</t>
  </si>
  <si>
    <t xml:space="preserve">Planned: Fine-Gray or multi-state model.</t>
  </si>
  <si>
    <t xml:space="preserve">P-11</t>
  </si>
  <si>
    <t xml:space="preserve">Calibrated prediction intervals</t>
  </si>
  <si>
    <t xml:space="preserve">Intervals with a stated coverage, checked against observed outcomes.</t>
  </si>
  <si>
    <t xml:space="preserve">D1 patient-level records</t>
  </si>
  <si>
    <t xml:space="preserve">Planned: conformal prediction over the fitted model.</t>
  </si>
  <si>
    <t xml:space="preserve">P-12</t>
  </si>
  <si>
    <t xml:space="preserve">Forecast that updates during the stay</t>
  </si>
  <si>
    <t xml:space="preserve">Re-estimates the remaining stay each day as the infant's course unfolds.</t>
  </si>
  <si>
    <t xml:space="preserve">D2 daily clinical course</t>
  </si>
  <si>
    <t xml:space="preserve">Planned: landmark or multi-state model.</t>
  </si>
  <si>
    <t xml:space="preserve">P-13</t>
  </si>
  <si>
    <t xml:space="preserve">Published model performance</t>
  </si>
  <si>
    <t xml:space="preserve">Discrimination, calibration and external validation reported to TRIPOD+AI.</t>
  </si>
  <si>
    <t xml:space="preserve">D1 records plus a validation period</t>
  </si>
  <si>
    <t xml:space="preserve">No fitted model exists yet, so nothing to report.</t>
  </si>
  <si>
    <t xml:space="preserve">P-14</t>
  </si>
  <si>
    <t xml:space="preserve">Risk of readmission or escalation</t>
  </si>
  <si>
    <t xml:space="preserve">Flags infants likely to deteriorate or return after discharge.</t>
  </si>
  <si>
    <t xml:space="preserve">Could</t>
  </si>
  <si>
    <t xml:space="preserve">D1 records including readmissions</t>
  </si>
  <si>
    <t xml:space="preserve">Not started.</t>
  </si>
  <si>
    <t xml:space="preserve">A-01</t>
  </si>
  <si>
    <t xml:space="preserve">Acuity and levels of care</t>
  </si>
  <si>
    <t xml:space="preserve">Acuity tool in the application</t>
  </si>
  <si>
    <t xml:space="preserve">11 body systems with 43 findings across four ratio columns, plus the footnoted 1:1 criterion and 64 level-of-care criteria — 108 selectable items in all.</t>
  </si>
  <si>
    <t xml:space="preserve">The hospital's acuity document (held for one unit)</t>
  </si>
  <si>
    <t xml:space="preserve">backend/app/acuity_tool.py, built from the transcribed CSV files.</t>
  </si>
  <si>
    <t xml:space="preserve">A-02</t>
  </si>
  <si>
    <t xml:space="preserve">Nurse-to-patient ratio from findings</t>
  </si>
  <si>
    <t xml:space="preserve">The most intensive finding selected sets the ratio column, including the footnoted 1:1 case.</t>
  </si>
  <si>
    <t xml:space="preserve">None</t>
  </si>
  <si>
    <t xml:space="preserve">Four ratio columns; applied on the Scheduling page.</t>
  </si>
  <si>
    <t xml:space="preserve">A-03</t>
  </si>
  <si>
    <t xml:space="preserve">Levels of care N1-N4</t>
  </si>
  <si>
    <t xml:space="preserve">64 criteria (45 general, 19 hyperbilirubinemia) set the level of care.</t>
  </si>
  <si>
    <t xml:space="preserve">Transcribed from the same source document.</t>
  </si>
  <si>
    <t xml:space="preserve">A-04</t>
  </si>
  <si>
    <t xml:space="preserve">Combined classification rule</t>
  </si>
  <si>
    <t xml:space="preserve">The minimum nurse level is the higher of the ratio column and the level of care.</t>
  </si>
  <si>
    <t xml:space="preserve">Identical in Python and in the browser; proven by the parity test.</t>
  </si>
  <si>
    <t xml:space="preserve">A-05</t>
  </si>
  <si>
    <t xml:space="preserve">Acuity reference page for staff</t>
  </si>
  <si>
    <t xml:space="preserve">The whole tool readable in the application, so a charge nurse can check a rule at the bedside.</t>
  </si>
  <si>
    <t xml:space="preserve">frontend/acuity.html.</t>
  </si>
  <si>
    <t xml:space="preserve">A-06</t>
  </si>
  <si>
    <t xml:space="preserve">Hospital-editable acuity policy</t>
  </si>
  <si>
    <t xml:space="preserve">An administrator edits findings, ratios and criteria for the local policy without a developer.</t>
  </si>
  <si>
    <t xml:space="preserve">Each site's own acuity policy</t>
  </si>
  <si>
    <t xml:space="preserve">Today a policy change means editing the source CSV files and rebuilding.</t>
  </si>
  <si>
    <t xml:space="preserve">A-07</t>
  </si>
  <si>
    <t xml:space="preserve">Acuity recorded per shift</t>
  </si>
  <si>
    <t xml:space="preserve">Keeps what was classified, by whom and when, as the audit trail and as training data.</t>
  </si>
  <si>
    <t xml:space="preserve">D5 acuity per shift</t>
  </si>
  <si>
    <t xml:space="preserve">Needs a store; the application holds no records today.</t>
  </si>
  <si>
    <t xml:space="preserve">A-08</t>
  </si>
  <si>
    <t xml:space="preserve">Acuity trend over time</t>
  </si>
  <si>
    <t xml:space="preserve">Shows how the unit's case mix moves week to week.</t>
  </si>
  <si>
    <t xml:space="preserve">D5 acuity history</t>
  </si>
  <si>
    <t xml:space="preserve">S-01</t>
  </si>
  <si>
    <t xml:space="preserve">Nurses needed per shift</t>
  </si>
  <si>
    <t xml:space="preserve">Adds every cot's requirement into nurse-hours and nurses per shift.</t>
  </si>
  <si>
    <t xml:space="preserve">The census, entered by the charge nurse</t>
  </si>
  <si>
    <t xml:space="preserve">backend/app/nursing.py, estimate_staffing and schedule_unit.</t>
  </si>
  <si>
    <t xml:space="preserve">S-02</t>
  </si>
  <si>
    <t xml:space="preserve">Skill mix required</t>
  </si>
  <si>
    <t xml:space="preserve">How many of each competency level the shift needs, accumulated from expert downward.</t>
  </si>
  <si>
    <t xml:space="preserve">Levels L1-L4 with capacities 0.75 to 1.10.</t>
  </si>
  <si>
    <t xml:space="preserve">S-03</t>
  </si>
  <si>
    <t xml:space="preserve">Novice cap</t>
  </si>
  <si>
    <t xml:space="preserve">Holds novices to at most 30% of the nurses on a shift.</t>
  </si>
  <si>
    <t xml:space="preserve">Local policy value</t>
  </si>
  <si>
    <t xml:space="preserve">Fixed at 30% today; configurable per site is a later step.</t>
  </si>
  <si>
    <t xml:space="preserve">S-04</t>
  </si>
  <si>
    <t xml:space="preserve">Preceptor rule</t>
  </si>
  <si>
    <t xml:space="preserve">Requires a senior nurse on shift whenever novices are rostered.</t>
  </si>
  <si>
    <t xml:space="preserve">Applied in the skill-mix calculation.</t>
  </si>
  <si>
    <t xml:space="preserve">S-05</t>
  </si>
  <si>
    <t xml:space="preserve">Charge nurse kept free</t>
  </si>
  <si>
    <t xml:space="preserve">The charge nurse carries no bedside assignment, as in practice.</t>
  </si>
  <si>
    <t xml:space="preserve">Applied in the roster builder.</t>
  </si>
  <si>
    <t xml:space="preserve">S-06</t>
  </si>
  <si>
    <t xml:space="preserve">24-hour roster</t>
  </si>
  <si>
    <t xml:space="preserve">Deals the nurses actually available across shifts and matches them to cots.</t>
  </si>
  <si>
    <t xml:space="preserve">Nurses available by level, entered by the user</t>
  </si>
  <si>
    <t xml:space="preserve">Round-robin across shifts; least-senior qualified nurse takes each cot.</t>
  </si>
  <si>
    <t xml:space="preserve">S-07</t>
  </si>
  <si>
    <t xml:space="preserve">Uncovered cots named</t>
  </si>
  <si>
    <t xml:space="preserve">Says which infants no qualified nurse is free to take, and what grade would fix it.</t>
  </si>
  <si>
    <t xml:space="preserve">Shown as a red banner and in the census table.</t>
  </si>
  <si>
    <t xml:space="preserve">S-08</t>
  </si>
  <si>
    <t xml:space="preserve">Auto-fill to meet demand</t>
  </si>
  <si>
    <t xml:space="preserve">Raises staffing level by level until every infant is covered.</t>
  </si>
  <si>
    <t xml:space="preserve">frontend/schedule.js, autoFill.</t>
  </si>
  <si>
    <t xml:space="preserve">S-09</t>
  </si>
  <si>
    <t xml:space="preserve">Two or three shifts a day</t>
  </si>
  <si>
    <t xml:space="preserve">Supports 12-hour and 8-hour shift patterns.</t>
  </si>
  <si>
    <t xml:space="preserve">Local shift pattern</t>
  </si>
  <si>
    <t xml:space="preserve">shifts_per_day on the schedule request.</t>
  </si>
  <si>
    <t xml:space="preserve">S-10</t>
  </si>
  <si>
    <t xml:space="preserve">Rosters real people from the unit's staff list, with their own competencies.</t>
  </si>
  <si>
    <t xml:space="preserve">D6 workforce list by grade</t>
  </si>
  <si>
    <t xml:space="preserve">Today the user enters how many nurses of each level are available.</t>
  </si>
  <si>
    <t xml:space="preserve">S-11</t>
  </si>
  <si>
    <t xml:space="preserve">Leave, sickness, bank and agency</t>
  </si>
  <si>
    <t xml:space="preserve">Takes availability, absence and temporary staff into account.</t>
  </si>
  <si>
    <t xml:space="preserve">D6 workforce, absence and bank or agency use</t>
  </si>
  <si>
    <t xml:space="preserve">Working-time and fairness rules</t>
  </si>
  <si>
    <t xml:space="preserve">Rest between shifts, consecutive nights, weekend fairness, individual preferences.</t>
  </si>
  <si>
    <t xml:space="preserve">Local rostering policy</t>
  </si>
  <si>
    <t xml:space="preserve">Planned with a constraint solver.</t>
  </si>
  <si>
    <t xml:space="preserve">S-13</t>
  </si>
  <si>
    <t xml:space="preserve">Optimised roster</t>
  </si>
  <si>
    <t xml:space="preserve">Finds the best feasible roster against hard and soft rules instead of a first-fit arrangement.</t>
  </si>
  <si>
    <t xml:space="preserve">The rules above</t>
  </si>
  <si>
    <t xml:space="preserve">Planned: CP-SAT or mixed-integer programming, with local search for large units.</t>
  </si>
  <si>
    <t xml:space="preserve">S-14</t>
  </si>
  <si>
    <t xml:space="preserve">Continuity of carer</t>
  </si>
  <si>
    <t xml:space="preserve">Keeps the same nurse with the same infant across consecutive shifts where possible.</t>
  </si>
  <si>
    <t xml:space="preserve">D5 and D6 history</t>
  </si>
  <si>
    <t xml:space="preserve">Planned as a soft constraint.</t>
  </si>
  <si>
    <t xml:space="preserve">S-15</t>
  </si>
  <si>
    <t xml:space="preserve">Roster handover and printing</t>
  </si>
  <si>
    <t xml:space="preserve">A printable or exportable shift sheet for handover.</t>
  </si>
  <si>
    <t xml:space="preserve">No print stylesheet or export exists today.</t>
  </si>
  <si>
    <t xml:space="preserve">S-16</t>
  </si>
  <si>
    <t xml:space="preserve">What-if planning</t>
  </si>
  <si>
    <t xml:space="preserve">Compares staffing options for a forecast census before the shift starts.</t>
  </si>
  <si>
    <t xml:space="preserve">D4 census history</t>
  </si>
  <si>
    <t xml:space="preserve">Partly possible by hand today by editing the census.</t>
  </si>
  <si>
    <t xml:space="preserve">R-01</t>
  </si>
  <si>
    <t xml:space="preserve">Analytics and reporting</t>
  </si>
  <si>
    <t xml:space="preserve">Length of stay by birth weight</t>
  </si>
  <si>
    <t xml:space="preserve">Median and interquartile range for all 11 weight bands.</t>
  </si>
  <si>
    <t xml:space="preserve">frontend/analytics.js.</t>
  </si>
  <si>
    <t xml:space="preserve">R-02</t>
  </si>
  <si>
    <t xml:space="preserve">Length of stay by gestational age</t>
  </si>
  <si>
    <t xml:space="preserve">The same view across all 18 gestational-age groups.</t>
  </si>
  <si>
    <t xml:space="preserve">R-03</t>
  </si>
  <si>
    <t xml:space="preserve">Discharge outcome mix by band</t>
  </si>
  <si>
    <t xml:space="preserve">Home, transfer and death as percentages of each band's admissions.</t>
  </si>
  <si>
    <t xml:space="preserve">R-04</t>
  </si>
  <si>
    <t xml:space="preserve">Headline unit figures</t>
  </si>
  <si>
    <t xml:space="preserve">Cohort size, median stay and the stay-by-weight picture on the home page.</t>
  </si>
  <si>
    <t xml:space="preserve">frontend/home.js.</t>
  </si>
  <si>
    <t xml:space="preserve">R-05</t>
  </si>
  <si>
    <t xml:space="preserve">Demand forecast over weeks and months</t>
  </si>
  <si>
    <t xml:space="preserve">Projects census and nursing demand forward for establishment planning.</t>
  </si>
  <si>
    <t xml:space="preserve">D4 census and flow, 12-24 months</t>
  </si>
  <si>
    <t xml:space="preserve">Planned: seasonal time-series or state-space model.</t>
  </si>
  <si>
    <t xml:space="preserve">R-06</t>
  </si>
  <si>
    <t xml:space="preserve">Recommended against actual staffing</t>
  </si>
  <si>
    <t xml:space="preserve">Compares what the model asked for with what the unit rostered, over a period.</t>
  </si>
  <si>
    <t xml:space="preserve">D4 census and D6 actual staffing</t>
  </si>
  <si>
    <t xml:space="preserve">The evidence a staffing review needs.</t>
  </si>
  <si>
    <t xml:space="preserve">R-07</t>
  </si>
  <si>
    <t xml:space="preserve">Shortfall register</t>
  </si>
  <si>
    <t xml:space="preserve">Keeps every shift where cover was short, and by which grade.</t>
  </si>
  <si>
    <t xml:space="preserve">D4, D5 and D6 history</t>
  </si>
  <si>
    <t xml:space="preserve">Needs a store.</t>
  </si>
  <si>
    <t xml:space="preserve">R-08</t>
  </si>
  <si>
    <t xml:space="preserve">Export to Excel or PDF</t>
  </si>
  <si>
    <t xml:space="preserve">Takes a table or a report out of the application for a meeting.</t>
  </si>
  <si>
    <t xml:space="preserve">No export exists today.</t>
  </si>
  <si>
    <t xml:space="preserve">R-09</t>
  </si>
  <si>
    <t xml:space="preserve">Multi-branch roll-up</t>
  </si>
  <si>
    <t xml:space="preserve">One view across several units or hospitals, with each branch still separate.</t>
  </si>
  <si>
    <t xml:space="preserve">Per-branch feeds of D4-D6</t>
  </si>
  <si>
    <t xml:space="preserve">Each branch runs its own instance today.</t>
  </si>
  <si>
    <t xml:space="preserve">R-10</t>
  </si>
  <si>
    <t xml:space="preserve">Scheduled reports by email</t>
  </si>
  <si>
    <t xml:space="preserve">Sends a weekly or monthly summary to managers.</t>
  </si>
  <si>
    <t xml:space="preserve">X-01</t>
  </si>
  <si>
    <t xml:space="preserve">Access and security</t>
  </si>
  <si>
    <t xml:space="preserve">Named accounts with passwords</t>
  </si>
  <si>
    <t xml:space="preserve">Only registered people can open the application or its data.</t>
  </si>
  <si>
    <t xml:space="preserve">A list of who may have access</t>
  </si>
  <si>
    <t xml:space="preserve">PBKDF2-HMAC-SHA256, 600,000 iterations, per-account salt, 12-character minimum.</t>
  </si>
  <si>
    <t xml:space="preserve">X-02</t>
  </si>
  <si>
    <t xml:space="preserve">Signed session cookie</t>
  </si>
  <si>
    <t xml:space="preserve">Keeps someone signed in for 12 hours without storing anything readable.</t>
  </si>
  <si>
    <t xml:space="preserve">HttpOnly, SameSite=Lax, Secure in production.</t>
  </si>
  <si>
    <t xml:space="preserve">X-03</t>
  </si>
  <si>
    <t xml:space="preserve">Sessions end immediately</t>
  </si>
  <si>
    <t xml:space="preserve">Removing an account or changing a password ends its sessions at once.</t>
  </si>
  <si>
    <t xml:space="preserve">Every request re-checks the account and a fingerprint of its password.</t>
  </si>
  <si>
    <t xml:space="preserve">X-04</t>
  </si>
  <si>
    <t xml:space="preserve">Brute-force limits</t>
  </si>
  <si>
    <t xml:space="preserve">Slows repeated failed sign-ins per account and per client.</t>
  </si>
  <si>
    <t xml:space="preserve">5 per account and 20 per client in 15 minutes.</t>
  </si>
  <si>
    <t xml:space="preserve">X-05</t>
  </si>
  <si>
    <t xml:space="preserve">Encrypted published copy</t>
  </si>
  <si>
    <t xml:space="preserve">The public GitHub Pages copy is encrypted; only registered accounts can open it.</t>
  </si>
  <si>
    <t xml:space="preserve">The account list, as a repository secret</t>
  </si>
  <si>
    <t xml:space="preserve">AES-256-GCM with a fresh key per build, wrapped per account.</t>
  </si>
  <si>
    <t xml:space="preserve">X-06</t>
  </si>
  <si>
    <t xml:space="preserve">Hospital single sign-on through a proxy</t>
  </si>
  <si>
    <t xml:space="preserve">An existing gateway authenticates the user and passes the identity in a header.</t>
  </si>
  <si>
    <t xml:space="preserve">A gateway the hospital already runs</t>
  </si>
  <si>
    <t xml:space="preserve">Proxy mode with a shared secret header.</t>
  </si>
  <si>
    <t xml:space="preserve">X-07</t>
  </si>
  <si>
    <t xml:space="preserve">Direct OIDC or SAML</t>
  </si>
  <si>
    <t xml:space="preserve">The application itself joins the hospital identity provider, without a gateway.</t>
  </si>
  <si>
    <t xml:space="preserve">Identity provider details</t>
  </si>
  <si>
    <t xml:space="preserve">Proxy mode covers most sites today.</t>
  </si>
  <si>
    <t xml:space="preserve">X-08</t>
  </si>
  <si>
    <t xml:space="preserve">Roles and permissions</t>
  </si>
  <si>
    <t xml:space="preserve">Separate what an administrator, a charge nurse and a viewer may do.</t>
  </si>
  <si>
    <t xml:space="preserve">The hospital's role list</t>
  </si>
  <si>
    <t xml:space="preserve">Every account has the same rights today.</t>
  </si>
  <si>
    <t xml:space="preserve">X-09</t>
  </si>
  <si>
    <t xml:space="preserve">Audit log</t>
  </si>
  <si>
    <t xml:space="preserve">Records sign-ins, account changes and, later, who classified or rostered what.</t>
  </si>
  <si>
    <t xml:space="preserve">Retention policy</t>
  </si>
  <si>
    <t xml:space="preserve">X-10</t>
  </si>
  <si>
    <t xml:space="preserve">Password self-service</t>
  </si>
  <si>
    <t xml:space="preserve">Users reset their own password without an administrator.</t>
  </si>
  <si>
    <t xml:space="preserve">Email relay</t>
  </si>
  <si>
    <t xml:space="preserve">An administrator sets passwords today.</t>
  </si>
  <si>
    <t xml:space="preserve">D-01</t>
  </si>
  <si>
    <t xml:space="preserve">Deployment and operations</t>
  </si>
  <si>
    <t xml:space="preserve">One container, any host</t>
  </si>
  <si>
    <t xml:space="preserve">The whole application runs from a single image with no database.</t>
  </si>
  <si>
    <t xml:space="preserve">Dockerfile, non-root user, health check.</t>
  </si>
  <si>
    <t xml:space="preserve">D-02</t>
  </si>
  <si>
    <t xml:space="preserve">Hospital server with HTTPS</t>
  </si>
  <si>
    <t xml:space="preserve">Docker Compose with an optional bundled HTTPS proxy.</t>
  </si>
  <si>
    <t xml:space="preserve">A host name and a certificate</t>
  </si>
  <si>
    <t xml:space="preserve">docker-compose.yml and docs/DEPLOYMENT.md.</t>
  </si>
  <si>
    <t xml:space="preserve">D-03</t>
  </si>
  <si>
    <t xml:space="preserve">Kubernetes</t>
  </si>
  <si>
    <t xml:space="preserve">Manifests and kustomize overlays for any cluster.</t>
  </si>
  <si>
    <t xml:space="preserve">A cluster</t>
  </si>
  <si>
    <t xml:space="preserve">deploy/kubernetes/.</t>
  </si>
  <si>
    <t xml:space="preserve">D-04</t>
  </si>
  <si>
    <t xml:space="preserve">Any cloud provider</t>
  </si>
  <si>
    <t xml:space="preserve">Runs on AWS, Azure or Google without provider-specific services.</t>
  </si>
  <si>
    <t xml:space="preserve">docs/CLOUD.md; stateless mode with accounts supplied as an environment value.</t>
  </si>
  <si>
    <t xml:space="preserve">D-05</t>
  </si>
  <si>
    <t xml:space="preserve">Multi-architecture image</t>
  </si>
  <si>
    <t xml:space="preserve">Published for both Intel and ARM hosts.</t>
  </si>
  <si>
    <t xml:space="preserve">GitHub Actions image workflow.</t>
  </si>
  <si>
    <t xml:space="preserve">D-06</t>
  </si>
  <si>
    <t xml:space="preserve">Automated tests on every push</t>
  </si>
  <si>
    <t xml:space="preserve">105 tests, including browser-against-Python engine parity.</t>
  </si>
  <si>
    <t xml:space="preserve">GitHub Actions; the container is built and smoke-tested end to end.</t>
  </si>
  <si>
    <t xml:space="preserve">D-07</t>
  </si>
  <si>
    <t xml:space="preserve">Account backup and restore</t>
  </si>
  <si>
    <t xml:space="preserve">A documented way to copy and restore the account list.</t>
  </si>
  <si>
    <t xml:space="preserve">docs/DEPLOYMENT.md, Backups.</t>
  </si>
  <si>
    <t xml:space="preserve">D-08</t>
  </si>
  <si>
    <t xml:space="preserve">Per-branch configuration</t>
  </si>
  <si>
    <t xml:space="preserve">Each branch of a hospital group runs with its own policy and accounts.</t>
  </si>
  <si>
    <t xml:space="preserve">Per-branch policy values</t>
  </si>
  <si>
    <t xml:space="preserve">One instance per branch today; shared configuration and roll-up are not built.</t>
  </si>
  <si>
    <t xml:space="preserve">D-09</t>
  </si>
  <si>
    <t xml:space="preserve">Monitoring and alerting</t>
  </si>
  <si>
    <t xml:space="preserve">Health, errors and usage visible to the hospital's own monitoring.</t>
  </si>
  <si>
    <t xml:space="preserve">A health endpoint exists; no metrics or alert integration.</t>
  </si>
  <si>
    <t xml:space="preserve">D-10</t>
  </si>
  <si>
    <t xml:space="preserve">Scaling with users</t>
  </si>
  <si>
    <t xml:space="preserve">More instances behind a load balancer as use grows.</t>
  </si>
  <si>
    <t xml:space="preserve">Stateless mode; sessions are signed, not stored.</t>
  </si>
  <si>
    <t xml:space="preserve">D-11</t>
  </si>
  <si>
    <t xml:space="preserve">Disaster recovery plan</t>
  </si>
  <si>
    <t xml:space="preserve">Agreed recovery point and recovery time with the hospital.</t>
  </si>
  <si>
    <t xml:space="preserve">The hospital's own targets</t>
  </si>
  <si>
    <t xml:space="preserve">Not written; the application holds no patient data, which simplifies it.</t>
  </si>
  <si>
    <t xml:space="preserve">I-01</t>
  </si>
  <si>
    <t xml:space="preserve">Data and integration</t>
  </si>
  <si>
    <t xml:space="preserve">Aggregated outcome tables</t>
  </si>
  <si>
    <t xml:space="preserve">A decade of this centre's recorded outcomes, by band and by disposition.</t>
  </si>
  <si>
    <t xml:space="preserve">Already held</t>
  </si>
  <si>
    <t xml:space="preserve">datasets/losdata/.</t>
  </si>
  <si>
    <t xml:space="preserve">I-02</t>
  </si>
  <si>
    <t xml:space="preserve">Acuity policy as data</t>
  </si>
  <si>
    <t xml:space="preserve">The acuity tool and levels of care, transcribed and parsed.</t>
  </si>
  <si>
    <t xml:space="preserve">datasets/nurse-skills/; handwritten annotations on the scan are ignored.</t>
  </si>
  <si>
    <t xml:space="preserve">I-03</t>
  </si>
  <si>
    <t xml:space="preserve">Patient-level clinical records</t>
  </si>
  <si>
    <t xml:space="preserve">One row per admission with weight, gestation, course and outcome.</t>
  </si>
  <si>
    <t xml:space="preserve">D1, 3-5 years, roughly 1,500-3,000 admissions</t>
  </si>
  <si>
    <t xml:space="preserve">Request D1 in the Data and Feature Requirements document.</t>
  </si>
  <si>
    <t xml:space="preserve">I-04</t>
  </si>
  <si>
    <t xml:space="preserve">Daily clinical course</t>
  </si>
  <si>
    <t xml:space="preserve">Support, feeding, lines and complications day by day.</t>
  </si>
  <si>
    <t xml:space="preserve">D2, same period</t>
  </si>
  <si>
    <t xml:space="preserve">Needed for a forecast that updates during the stay.</t>
  </si>
  <si>
    <t xml:space="preserve">I-05</t>
  </si>
  <si>
    <t xml:space="preserve">Census and flow feed</t>
  </si>
  <si>
    <t xml:space="preserve">Admissions, discharges, transfers, deaths, occupancy and closures.</t>
  </si>
  <si>
    <t xml:space="preserve">D4, 12-24 months, hourly or per shift</t>
  </si>
  <si>
    <t xml:space="preserve">Needed for demand forecasting and establishment work.</t>
  </si>
  <si>
    <t xml:space="preserve">I-06</t>
  </si>
  <si>
    <t xml:space="preserve">Workforce feed</t>
  </si>
  <si>
    <t xml:space="preserve">Establishment and actual staffing per shift by grade, with absence and temporary staff.</t>
  </si>
  <si>
    <t xml:space="preserve">D6, 12 months</t>
  </si>
  <si>
    <t xml:space="preserve">Needed for named-nurse rostering.</t>
  </si>
  <si>
    <t xml:space="preserve">I-07</t>
  </si>
  <si>
    <t xml:space="preserve">Live link to the patient record system</t>
  </si>
  <si>
    <t xml:space="preserve">Reads the census automatically instead of the charge nurse typing it.</t>
  </si>
  <si>
    <t xml:space="preserve">An interface agreement and an integration engine</t>
  </si>
  <si>
    <t xml:space="preserve">Planned after the historical feeds.</t>
  </si>
  <si>
    <t xml:space="preserve">I-08</t>
  </si>
  <si>
    <t xml:space="preserve">Link to the rostering system</t>
  </si>
  <si>
    <t xml:space="preserve">Reads who is on duty and writes back an agreed roster.</t>
  </si>
  <si>
    <t xml:space="preserve">Vendor interface</t>
  </si>
  <si>
    <t xml:space="preserve">I-09</t>
  </si>
  <si>
    <t xml:space="preserve">De-identification at source</t>
  </si>
  <si>
    <t xml:space="preserve">The hospital removes identifiers before any extract leaves it.</t>
  </si>
  <si>
    <t xml:space="preserve">Agreed method with information governance</t>
  </si>
  <si>
    <t xml:space="preserve">Stated as a condition of every data request.</t>
  </si>
  <si>
    <t xml:space="preserve">U-01</t>
  </si>
  <si>
    <t xml:space="preserve">Usability and training</t>
  </si>
  <si>
    <t xml:space="preserve">Works on phone, tablet and desktop</t>
  </si>
  <si>
    <t xml:space="preserve">The same pages reflow for the device at the bedside.</t>
  </si>
  <si>
    <t xml:space="preserve">Responsive layout throughout.</t>
  </si>
  <si>
    <t xml:space="preserve">U-02</t>
  </si>
  <si>
    <t xml:space="preserve">Explanations beside every number</t>
  </si>
  <si>
    <t xml:space="preserve">Tooltips and plain-language notes on each figure.</t>
  </si>
  <si>
    <t xml:space="preserve">Tooltips in components.js.</t>
  </si>
  <si>
    <t xml:space="preserve">U-03</t>
  </si>
  <si>
    <t xml:space="preserve">Reduced-motion support</t>
  </si>
  <si>
    <t xml:space="preserve">Animation is dropped for users who ask their device for less motion.</t>
  </si>
  <si>
    <t xml:space="preserve">prefers-reduced-motion respected in the stylesheet and scripts.</t>
  </si>
  <si>
    <t xml:space="preserve">U-04</t>
  </si>
  <si>
    <t xml:space="preserve">Formal accessibility conformance</t>
  </si>
  <si>
    <t xml:space="preserve">An audited WCAG 2.2 AA statement, including screen-reader testing.</t>
  </si>
  <si>
    <t xml:space="preserve">Built to the pattern but never audited; no conformance statement exists.</t>
  </si>
  <si>
    <t xml:space="preserve">U-05</t>
  </si>
  <si>
    <t xml:space="preserve">User guide</t>
  </si>
  <si>
    <t xml:space="preserve">Step-by-step guide to every page.</t>
  </si>
  <si>
    <t xml:space="preserve">docs/USER_GUIDE.md.</t>
  </si>
  <si>
    <t xml:space="preserve">U-06</t>
  </si>
  <si>
    <t xml:space="preserve">Architecture and methods document</t>
  </si>
  <si>
    <t xml:space="preserve">Every algorithm and figure, checked against the source code.</t>
  </si>
  <si>
    <t xml:space="preserve">docs/NeoStay-Architecture.pdf.</t>
  </si>
  <si>
    <t xml:space="preserve">U-07</t>
  </si>
  <si>
    <t xml:space="preserve">Training material for staff</t>
  </si>
  <si>
    <t xml:space="preserve">Slides or e-learning for charge nurses and medical staff.</t>
  </si>
  <si>
    <t xml:space="preserve">U-08</t>
  </si>
  <si>
    <t xml:space="preserve">In-application help and first-run tour</t>
  </si>
  <si>
    <t xml:space="preserve">Guidance inside the application rather than in a separate document.</t>
  </si>
  <si>
    <t xml:space="preserve">U-09</t>
  </si>
  <si>
    <t xml:space="preserve">More than one language</t>
  </si>
  <si>
    <t xml:space="preserve">The interface in the languages the unit's staff use.</t>
  </si>
  <si>
    <t xml:space="preserve">Translations</t>
  </si>
  <si>
    <t xml:space="preserve">G-01</t>
  </si>
  <si>
    <t xml:space="preserve">Governance and assurance</t>
  </si>
  <si>
    <t xml:space="preserve">Decision-support disclaimer everywhere</t>
  </si>
  <si>
    <t xml:space="preserve">Every page and document states that this is not a medical device and not for clinical use.</t>
  </si>
  <si>
    <t xml:space="preserve">Shown on each page and in every document footer.</t>
  </si>
  <si>
    <t xml:space="preserve">G-02</t>
  </si>
  <si>
    <t xml:space="preserve">No patient data in the system</t>
  </si>
  <si>
    <t xml:space="preserve">Nothing typed into the tools is sent to a server or stored.</t>
  </si>
  <si>
    <t xml:space="preserve">Calculations run in the browser; SECURITY.md states the boundary.</t>
  </si>
  <si>
    <t xml:space="preserve">G-03</t>
  </si>
  <si>
    <t xml:space="preserve">Clinical safety case (DCB0129/0160)</t>
  </si>
  <si>
    <t xml:space="preserve">Hazard log and safety case for a clinical decision-support tool.</t>
  </si>
  <si>
    <t xml:space="preserve">A named clinical safety officer</t>
  </si>
  <si>
    <t xml:space="preserve">Required before any clinical use.</t>
  </si>
  <si>
    <t xml:space="preserve">G-04</t>
  </si>
  <si>
    <t xml:space="preserve">Data protection impact assessment</t>
  </si>
  <si>
    <t xml:space="preserve">DPIA covering any extract the hospital supplies.</t>
  </si>
  <si>
    <t xml:space="preserve">Hospital information governance</t>
  </si>
  <si>
    <t xml:space="preserve">Required before data transfer.</t>
  </si>
  <si>
    <t xml:space="preserve">G-05</t>
  </si>
  <si>
    <t xml:space="preserve">Usability engineering file (IEC 62366)</t>
  </si>
  <si>
    <t xml:space="preserve">Documented use scenarios, use errors and mitigations.</t>
  </si>
  <si>
    <t xml:space="preserve">G-06</t>
  </si>
  <si>
    <t xml:space="preserve">Model risk of bias assessment (PROBAST)</t>
  </si>
  <si>
    <t xml:space="preserve">Formal appraisal of any fitted prediction model.</t>
  </si>
  <si>
    <t xml:space="preserve">A fitted model</t>
  </si>
  <si>
    <t xml:space="preserve">Not applicable yet.</t>
  </si>
  <si>
    <t xml:space="preserve">G-07</t>
  </si>
  <si>
    <t xml:space="preserve">Live monitoring for drift</t>
  </si>
  <si>
    <t xml:space="preserve">Watches whether the model stays accurate after deployment.</t>
  </si>
  <si>
    <t xml:space="preserve">A fitted model and ongoing outcome data</t>
  </si>
  <si>
    <t xml:space="preserve">Planned with the fitted model.</t>
  </si>
  <si>
    <t xml:space="preserve">G-08</t>
  </si>
  <si>
    <t xml:space="preserve">Research and publication plan</t>
  </si>
  <si>
    <t xml:space="preserve">Agreed authorship, reporting standard and approvals for publication.</t>
  </si>
  <si>
    <t xml:space="preserve">Agreement between the leads and the hospital</t>
  </si>
  <si>
    <t xml:space="preserve">To be agreed with the data request.</t>
  </si>
  <si>
    <t xml:space="preserve">Where the project stands</t>
  </si>
  <si>
    <t xml:space="preserve">Every figure on this sheet counts the Feature inventory sheet. Change a Status there and these move.</t>
  </si>
  <si>
    <t xml:space="preserve">Features</t>
  </si>
  <si>
    <t xml:space="preserve">Share</t>
  </si>
  <si>
    <t xml:space="preserve">All features</t>
  </si>
  <si>
    <t xml:space="preserve">By area</t>
  </si>
  <si>
    <t xml:space="preserve">All</t>
  </si>
  <si>
    <t xml:space="preserve">Share we have</t>
  </si>
  <si>
    <t xml:space="preserve">Still to build, by priority</t>
  </si>
  <si>
    <t xml:space="preserve">Both</t>
  </si>
  <si>
    <t xml:space="preserve">Later</t>
  </si>
  <si>
    <t xml:space="preserve">Most of what is missing waits on data from the hospital, not on development time. The Data and Feature Requirements document (docs/NeoStay-Data-Requirements.pdf) lists each extract D1 to D6 referred to in the 'Data or input needed' column.</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</si>
</sst>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9">
    <font>
      <sz val="11"/>
      <color theme="1"/>
      <name val="Calibri"/>
      <family val="2"/>
      <charset val="1"/>
    </font>
    <font>
      <sz val="10"/>
      <name val="Arial"/>
      <family val="0"/>
    </font>
    <font>
      <sz val="10"/>
      <name val="Arial"/>
      <family val="0"/>
    </font>
    <font>
      <sz val="10"/>
      <name val="Arial"/>
      <family val="0"/>
    </font>
    <font>
      <b val="true"/>
      <sz val="16"/>
      <color rgb="FF08565A"/>
      <name val="Arial"/>
      <family val="0"/>
      <charset val="1"/>
    </font>
    <font>
      <sz val="10"/>
      <color rgb="FF74909C"/>
      <name val="Arial"/>
      <family val="0"/>
      <charset val="1"/>
    </font>
    <font>
      <b val="true"/>
      <sz val="11"/>
      <color rgb="FF08565A"/>
      <name val="Arial"/>
      <family val="0"/>
      <charset val="1"/>
    </font>
    <font>
      <sz val="10"/>
      <color rgb="FF122B36"/>
      <name val="Arial"/>
      <family val="0"/>
      <charset val="1"/>
    </font>
    <font>
      <b val="true"/>
      <sz val="10"/>
      <color rgb="FFFFFFFF"/>
      <name val="Arial"/>
      <family val="0"/>
      <charset val="1"/>
    </font>
    <font>
      <b val="true"/>
      <sz val="10"/>
      <color rgb="FF1B7A45"/>
      <name val="Arial"/>
      <family val="0"/>
      <charset val="1"/>
    </font>
    <font>
      <b val="true"/>
      <sz val="10"/>
      <color rgb="FF9A6B10"/>
      <name val="Arial"/>
      <family val="0"/>
      <charset val="1"/>
    </font>
    <font>
      <b val="true"/>
      <sz val="10"/>
      <color rgb="FF5A7280"/>
      <name val="Arial"/>
      <family val="0"/>
      <charset val="1"/>
    </font>
    <font>
      <b val="true"/>
      <sz val="10"/>
      <color rgb="FFA33232"/>
      <name val="Arial"/>
      <family val="0"/>
      <charset val="1"/>
    </font>
    <font>
      <i val="true"/>
      <sz val="10"/>
      <color rgb="FF74909C"/>
      <name val="Arial"/>
      <family val="0"/>
      <charset val="1"/>
    </font>
    <font>
      <b val="true"/>
      <sz val="9"/>
      <color rgb="FF08565A"/>
      <name val="Arial"/>
      <family val="0"/>
      <charset val="1"/>
    </font>
    <font>
      <sz val="9"/>
      <color rgb="FF122B36"/>
      <name val="Arial"/>
      <family val="0"/>
      <charset val="1"/>
    </font>
    <font>
      <b val="true"/>
      <sz val="10"/>
      <color rgb="FF122B36"/>
      <name val="Arial"/>
      <family val="0"/>
      <charset val="1"/>
    </font>
    <font>
      <b val="true"/>
      <sz val="10"/>
      <color rgb="FF08565A"/>
      <name val="Arial"/>
      <family val="0"/>
      <charset val="1"/>
    </font>
    <font>
      <b val="true"/>
      <sz val="10"/>
      <color rgb="FFC9A24B"/>
      <name val="Arial"/>
      <family val="0"/>
      <charset val="1"/>
    </font>
  </fonts>
  <fills count="11">
    <fill>
      <patternFill patternType="none"/>
    </fill>
    <fill>
      <patternFill patternType="gray125"/>
    </fill>
    <fill>
      <patternFill patternType="solid">
        <fgColor rgb="FF0E8A8F"/>
        <bgColor rgb="FF339966"/>
      </patternFill>
    </fill>
    <fill>
      <patternFill patternType="solid">
        <fgColor rgb="FFDCF2E3"/>
        <bgColor rgb="FFE3F4F4"/>
      </patternFill>
    </fill>
    <fill>
      <patternFill patternType="solid">
        <fgColor rgb="FFFBEFD6"/>
        <bgColor rgb="FFFFF9DB"/>
      </patternFill>
    </fill>
    <fill>
      <patternFill patternType="solid">
        <fgColor rgb="FFEDF1F3"/>
        <bgColor rgb="FFE3F4F4"/>
      </patternFill>
    </fill>
    <fill>
      <patternFill patternType="solid">
        <fgColor rgb="FFFBE4E4"/>
        <bgColor rgb="FFFBEFD6"/>
      </patternFill>
    </fill>
    <fill>
      <patternFill patternType="solid">
        <fgColor rgb="FFFFF9DB"/>
        <bgColor rgb="FFFBEFD6"/>
      </patternFill>
    </fill>
    <fill>
      <patternFill patternType="solid">
        <fgColor rgb="FFFFFFFF"/>
        <bgColor rgb="FFF6FAFB"/>
      </patternFill>
    </fill>
    <fill>
      <patternFill patternType="solid">
        <fgColor rgb="FFF6FAFB"/>
        <bgColor rgb="FFFFFFFF"/>
      </patternFill>
    </fill>
    <fill>
      <patternFill patternType="solid">
        <fgColor rgb="FFE3F4F4"/>
        <bgColor rgb="FFEDF1F3"/>
      </patternFill>
    </fill>
  </fills>
  <borders count="2">
    <border diagonalUp="false" diagonalDown="false">
      <left/>
      <right/>
      <top/>
      <bottom/>
      <diagonal/>
    </border>
    <border diagonalUp="false" diagonalDown="false">
      <left style="thin">
        <color rgb="FFD7E2E7"/>
      </left>
      <right style="thin">
        <color rgb="FFD7E2E7"/>
      </right>
      <top style="thin">
        <color rgb="FFD7E2E7"/>
      </top>
      <bottom style="thin">
        <color rgb="FFD7E2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false" indent="0" shrinkToFit="false"/>
      <protection locked="true" hidden="false"/>
    </xf>
    <xf numFmtId="164" fontId="11" fillId="5" borderId="1" xfId="0" applyFont="true" applyBorder="true" applyAlignment="true" applyProtection="false">
      <alignment horizontal="general" vertical="center" textRotation="0" wrapText="false" indent="0" shrinkToFit="false"/>
      <protection locked="true" hidden="false"/>
    </xf>
    <xf numFmtId="164" fontId="12" fillId="6" borderId="1" xfId="0" applyFont="true" applyBorder="true" applyAlignment="true" applyProtection="false">
      <alignment horizontal="general" vertical="center" textRotation="0" wrapText="false" indent="0" shrinkToFit="false"/>
      <protection locked="true" hidden="false"/>
    </xf>
    <xf numFmtId="164" fontId="17" fillId="10" borderId="1" xfId="0" applyFont="true" applyBorder="true" applyAlignment="true" applyProtection="false">
      <alignment horizontal="general" vertical="bottom" textRotation="0" wrapText="false" indent="0" shrinkToFit="false"/>
      <protection locked="true" hidden="false"/>
    </xf>
    <xf numFmtId="165" fontId="17" fillId="10" borderId="1" xfId="0" applyFont="true" applyBorder="true" applyAlignment="true" applyProtection="false">
      <alignment horizontal="center" vertical="center" textRotation="0" wrapText="false" indent="0" shrinkToFit="false"/>
      <protection locked="true" hidden="false"/>
    </xf>
    <xf numFmtId="164" fontId="17" fillId="1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16" fillId="10" borderId="1" xfId="0" applyFont="true" applyBorder="true" applyAlignment="true" applyProtection="false">
      <alignment horizontal="center" vertical="center" textRotation="0" wrapText="false" indent="0" shrinkToFit="false"/>
      <protection locked="true" hidden="false"/>
    </xf>
    <xf numFmtId="167" fontId="7" fillId="8"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E8A8F"/>
          <bgColor rgb="FF000000"/>
        </patternFill>
      </fill>
    </dxf>
    <dxf>
      <fill>
        <patternFill patternType="solid">
          <fgColor rgb="FFF6FAFB"/>
          <bgColor rgb="FF000000"/>
        </patternFill>
      </fill>
    </dxf>
    <dxf>
      <fill>
        <patternFill patternType="solid">
          <fgColor rgb="FFFFFFFF"/>
          <bgColor rgb="FF000000"/>
        </patternFill>
      </fill>
    </dxf>
    <dxf>
      <fill>
        <patternFill patternType="solid">
          <fgColor rgb="FF122B36"/>
          <bgColor rgb="FF000000"/>
        </patternFill>
      </fill>
    </dxf>
    <dxf>
      <fill>
        <patternFill patternType="solid">
          <fgColor rgb="FFDCF2E3"/>
          <bgColor rgb="FF000000"/>
        </patternFill>
      </fill>
    </dxf>
    <dxf>
      <fill>
        <patternFill patternType="solid">
          <fgColor rgb="FFEDF1F3"/>
          <bgColor rgb="FF000000"/>
        </patternFill>
      </fill>
    </dxf>
    <dxf>
      <fill>
        <patternFill patternType="solid">
          <fgColor rgb="FFFBEFD6"/>
          <bgColor rgb="FF000000"/>
        </patternFill>
      </fill>
    </dxf>
    <dxf>
      <fill>
        <patternFill patternType="solid">
          <fgColor rgb="FF1B7A45"/>
          <bgColor rgb="FF000000"/>
        </patternFill>
      </fill>
    </dxf>
    <dxf>
      <fill>
        <patternFill patternType="solid">
          <fgColor rgb="FF5A7280"/>
          <bgColor rgb="FF000000"/>
        </patternFill>
      </fill>
    </dxf>
    <dxf>
      <fill>
        <patternFill patternType="solid">
          <fgColor rgb="FF9A6B10"/>
          <bgColor rgb="FF000000"/>
        </patternFill>
      </fill>
    </dxf>
    <dxf>
      <fill>
        <patternFill patternType="solid">
          <fgColor rgb="FFC9A24B"/>
          <bgColor rgb="FF000000"/>
        </patternFill>
      </fill>
    </dxf>
    <dxf>
      <fill>
        <patternFill patternType="solid">
          <fgColor rgb="FFFFF9DB"/>
          <bgColor rgb="FF000000"/>
        </patternFill>
      </fill>
    </dxf>
    <dxf>
      <font>
        <name val="Arial"/>
        <charset val="1"/>
        <family val="0"/>
        <b val="1"/>
        <color rgb="FF1B7A45"/>
        <sz val="10"/>
      </font>
      <fill>
        <patternFill>
          <bgColor rgb="FFDCF2E3"/>
        </patternFill>
      </fill>
    </dxf>
    <dxf>
      <font>
        <name val="Arial"/>
        <charset val="1"/>
        <family val="0"/>
        <b val="1"/>
        <color rgb="FF9A6B10"/>
        <sz val="10"/>
      </font>
      <fill>
        <patternFill>
          <bgColor rgb="FFFBEFD6"/>
        </patternFill>
      </fill>
    </dxf>
    <dxf>
      <font>
        <name val="Arial"/>
        <charset val="1"/>
        <family val="0"/>
        <b val="1"/>
        <color rgb="FF5A7280"/>
        <sz val="10"/>
      </font>
      <fill>
        <patternFill>
          <bgColor rgb="FFEDF1F3"/>
        </patternFill>
      </fill>
    </dxf>
    <dxf>
      <font>
        <name val="Arial"/>
        <charset val="1"/>
        <family val="0"/>
        <b val="1"/>
        <color rgb="FFA33232"/>
        <sz val="10"/>
      </font>
      <fill>
        <patternFill>
          <bgColor rgb="FFFBE4E4"/>
        </patternFill>
      </fill>
    </dxf>
    <dxf>
      <font>
        <name val="Arial"/>
        <charset val="1"/>
        <family val="0"/>
        <b val="1"/>
        <color rgb="FFC9A24B"/>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9A6B10"/>
      <rgbColor rgb="FF800080"/>
      <rgbColor rgb="FF0E8A8F"/>
      <rgbColor rgb="FFF6FAFB"/>
      <rgbColor rgb="FF74909C"/>
      <rgbColor rgb="FF9999FF"/>
      <rgbColor rgb="FF993366"/>
      <rgbColor rgb="FFFFF9DB"/>
      <rgbColor rgb="FFE3F4F4"/>
      <rgbColor rgb="FF660066"/>
      <rgbColor rgb="FFFF8080"/>
      <rgbColor rgb="FF0066CC"/>
      <rgbColor rgb="FFD7E2E7"/>
      <rgbColor rgb="FF000080"/>
      <rgbColor rgb="FFFF00FF"/>
      <rgbColor rgb="FFFFFF00"/>
      <rgbColor rgb="FF00FFFF"/>
      <rgbColor rgb="FF800080"/>
      <rgbColor rgb="FF800000"/>
      <rgbColor rgb="FF1B7A45"/>
      <rgbColor rgb="FF0000FF"/>
      <rgbColor rgb="FF00CCFF"/>
      <rgbColor rgb="FFEDF1F3"/>
      <rgbColor rgb="FFDCF2E3"/>
      <rgbColor rgb="FFFBEFD6"/>
      <rgbColor rgb="FF99CCFF"/>
      <rgbColor rgb="FFFF99CC"/>
      <rgbColor rgb="FFCC99FF"/>
      <rgbColor rgb="FFFBE4E4"/>
      <rgbColor rgb="FF3366FF"/>
      <rgbColor rgb="FF33CCCC"/>
      <rgbColor rgb="FF99CC00"/>
      <rgbColor rgb="FFFFCC00"/>
      <rgbColor rgb="FFFF9900"/>
      <rgbColor rgb="FFFF6600"/>
      <rgbColor rgb="FF5A7280"/>
      <rgbColor rgb="FFC9A24B"/>
      <rgbColor rgb="FF08565A"/>
      <rgbColor rgb="FF339966"/>
      <rgbColor rgb="FF003300"/>
      <rgbColor rgb="FF333300"/>
      <rgbColor rgb="FFA33232"/>
      <rgbColor rgb="FF993366"/>
      <rgbColor rgb="FF333399"/>
      <rgbColor rgb="FF122B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4B"/>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26"/>
    <col collapsed="false" customWidth="true" hidden="false" outlineLevel="0" max="3" min="3" style="1" width="30"/>
    <col collapsed="false" customWidth="true" hidden="false" outlineLevel="0" max="4" min="4" style="1" width="14"/>
    <col collapsed="false" customWidth="true" hidden="false" outlineLevel="0" max="5" min="5" style="1" width="12"/>
    <col collapsed="false" customWidth="true" hidden="false" outlineLevel="0" max="6" min="6" style="1" width="40"/>
  </cols>
  <sheetData>
    <row r="1" customFormat="false" ht="30" hidden="false" customHeight="true" outlineLevel="0" collapsed="false">
      <c r="A1" s="2" t="s">
        <v>0</v>
      </c>
      <c r="B1" s="2"/>
      <c r="C1" s="2"/>
      <c r="D1" s="2"/>
      <c r="E1" s="2"/>
      <c r="F1" s="2"/>
    </row>
    <row r="2" customFormat="false" ht="18" hidden="false" customHeight="true" outlineLevel="0" collapsed="false">
      <c r="A2" s="3" t="s">
        <v>1</v>
      </c>
      <c r="B2" s="3"/>
      <c r="C2" s="3"/>
      <c r="D2" s="3"/>
      <c r="E2" s="3"/>
      <c r="F2" s="3"/>
    </row>
    <row r="4" customFormat="false" ht="15" hidden="false" customHeight="true" outlineLevel="0" collapsed="false">
      <c r="A4" s="4" t="s">
        <v>2</v>
      </c>
    </row>
    <row r="5" customFormat="false" ht="21.75" hidden="false" customHeight="true" outlineLevel="0" collapsed="false">
      <c r="A5" s="5" t="s">
        <v>3</v>
      </c>
      <c r="B5" s="5"/>
      <c r="C5" s="5"/>
      <c r="D5" s="5"/>
      <c r="E5" s="5"/>
      <c r="F5" s="5"/>
    </row>
    <row r="6" customFormat="false" ht="21.75" hidden="false" customHeight="true" outlineLevel="0" collapsed="false">
      <c r="A6" s="5"/>
      <c r="B6" s="5"/>
      <c r="C6" s="5"/>
      <c r="D6" s="5"/>
      <c r="E6" s="5"/>
      <c r="F6" s="5"/>
    </row>
    <row r="8" customFormat="false" ht="15" hidden="false" customHeight="true" outlineLevel="0" collapsed="false">
      <c r="A8" s="4" t="s">
        <v>4</v>
      </c>
    </row>
    <row r="9" customFormat="false" ht="21.75" hidden="false" customHeight="true" outlineLevel="0" collapsed="false">
      <c r="A9" s="5" t="s">
        <v>5</v>
      </c>
      <c r="B9" s="5"/>
      <c r="C9" s="5"/>
      <c r="D9" s="5"/>
      <c r="E9" s="5"/>
      <c r="F9" s="5"/>
    </row>
    <row r="10" customFormat="false" ht="21.75" hidden="false" customHeight="true" outlineLevel="0" collapsed="false">
      <c r="A10" s="5"/>
      <c r="B10" s="5"/>
      <c r="C10" s="5"/>
      <c r="D10" s="5"/>
      <c r="E10" s="5"/>
      <c r="F10" s="5"/>
    </row>
    <row r="12" customFormat="false" ht="15" hidden="false" customHeight="true" outlineLevel="0" collapsed="false">
      <c r="A12" s="4" t="s">
        <v>6</v>
      </c>
    </row>
    <row r="14" customFormat="false" ht="19.5" hidden="false" customHeight="true" outlineLevel="0" collapsed="false">
      <c r="A14" s="6" t="s">
        <v>7</v>
      </c>
      <c r="B14" s="6" t="s">
        <v>8</v>
      </c>
      <c r="C14" s="6"/>
      <c r="D14" s="6"/>
      <c r="E14" s="6"/>
      <c r="F14" s="6"/>
    </row>
    <row r="15" customFormat="false" ht="27.75" hidden="false" customHeight="true" outlineLevel="0" collapsed="false">
      <c r="A15" s="7" t="s">
        <v>9</v>
      </c>
      <c r="B15" s="8" t="s">
        <v>10</v>
      </c>
      <c r="C15" s="8"/>
      <c r="D15" s="8"/>
      <c r="E15" s="8"/>
      <c r="F15" s="8"/>
    </row>
    <row r="16" customFormat="false" ht="27.75" hidden="false" customHeight="true" outlineLevel="0" collapsed="false">
      <c r="A16" s="9" t="s">
        <v>11</v>
      </c>
      <c r="B16" s="8" t="s">
        <v>12</v>
      </c>
      <c r="C16" s="8"/>
      <c r="D16" s="8"/>
      <c r="E16" s="8"/>
      <c r="F16" s="8"/>
    </row>
    <row r="17" customFormat="false" ht="27.75" hidden="false" customHeight="true" outlineLevel="0" collapsed="false">
      <c r="A17" s="10" t="s">
        <v>13</v>
      </c>
      <c r="B17" s="8" t="s">
        <v>14</v>
      </c>
      <c r="C17" s="8"/>
      <c r="D17" s="8"/>
      <c r="E17" s="8"/>
      <c r="F17" s="8"/>
    </row>
    <row r="18" customFormat="false" ht="27.75" hidden="false" customHeight="true" outlineLevel="0" collapsed="false">
      <c r="A18" s="11" t="s">
        <v>15</v>
      </c>
      <c r="B18" s="8" t="s">
        <v>16</v>
      </c>
      <c r="C18" s="8"/>
      <c r="D18" s="8"/>
      <c r="E18" s="8"/>
      <c r="F18" s="8"/>
    </row>
    <row r="20" customFormat="false" ht="15" hidden="false" customHeight="true" outlineLevel="0" collapsed="false">
      <c r="A20" s="4" t="s">
        <v>17</v>
      </c>
    </row>
    <row r="21" customFormat="false" ht="19.5" hidden="false" customHeight="true" outlineLevel="0" collapsed="false">
      <c r="A21" s="6" t="s">
        <v>18</v>
      </c>
      <c r="B21" s="6" t="s">
        <v>19</v>
      </c>
      <c r="C21" s="6" t="s">
        <v>20</v>
      </c>
      <c r="D21" s="6" t="s">
        <v>7</v>
      </c>
      <c r="E21" s="6" t="s">
        <v>21</v>
      </c>
      <c r="F21" s="6" t="s">
        <v>22</v>
      </c>
    </row>
    <row r="22" customFormat="false" ht="30" hidden="false" customHeight="true" outlineLevel="0" collapsed="false">
      <c r="A22" s="8" t="s">
        <v>23</v>
      </c>
      <c r="B22" s="8" t="s">
        <v>24</v>
      </c>
      <c r="C22" s="8" t="s">
        <v>25</v>
      </c>
      <c r="D22" s="12" t="s">
        <v>13</v>
      </c>
      <c r="E22" s="12" t="s">
        <v>26</v>
      </c>
      <c r="F22" s="12" t="s">
        <v>27</v>
      </c>
    </row>
    <row r="24" customFormat="false" ht="19.5" hidden="false" customHeight="true" outlineLevel="0" collapsed="false">
      <c r="A24" s="13" t="s">
        <v>28</v>
      </c>
      <c r="B24" s="13"/>
      <c r="C24" s="13"/>
      <c r="D24" s="13"/>
      <c r="E24" s="13"/>
      <c r="F24" s="13"/>
    </row>
    <row r="25" customFormat="false" ht="19.5" hidden="false" customHeight="true" outlineLevel="0" collapsed="false">
      <c r="A25" s="13"/>
      <c r="B25" s="13"/>
      <c r="C25" s="13"/>
      <c r="D25" s="13"/>
      <c r="E25" s="13"/>
      <c r="F25" s="13"/>
    </row>
    <row r="27" customFormat="false" ht="15.75" hidden="false" customHeight="true" outlineLevel="0" collapsed="false">
      <c r="A27" s="14" t="s">
        <v>29</v>
      </c>
      <c r="B27" s="14"/>
      <c r="C27" s="14"/>
      <c r="D27" s="15" t="s">
        <v>30</v>
      </c>
      <c r="E27" s="15"/>
      <c r="F27" s="15"/>
    </row>
    <row r="28" customFormat="false" ht="15.75" hidden="false" customHeight="true" outlineLevel="0" collapsed="false">
      <c r="A28" s="14" t="s">
        <v>31</v>
      </c>
      <c r="B28" s="14"/>
      <c r="C28" s="14"/>
      <c r="D28" s="15" t="s">
        <v>32</v>
      </c>
      <c r="E28" s="15"/>
      <c r="F28" s="15"/>
    </row>
    <row r="29" customFormat="false" ht="15.75" hidden="false" customHeight="true" outlineLevel="0" collapsed="false">
      <c r="A29" s="14" t="s">
        <v>33</v>
      </c>
      <c r="B29" s="14"/>
      <c r="C29" s="14"/>
      <c r="D29" s="15" t="s">
        <v>34</v>
      </c>
      <c r="E29" s="15"/>
      <c r="F29" s="15"/>
    </row>
  </sheetData>
  <mergeCells count="16">
    <mergeCell ref="A1:F1"/>
    <mergeCell ref="A2:F2"/>
    <mergeCell ref="A5:F6"/>
    <mergeCell ref="A9:F10"/>
    <mergeCell ref="B14:F14"/>
    <mergeCell ref="B15:F15"/>
    <mergeCell ref="B16:F16"/>
    <mergeCell ref="B17:F17"/>
    <mergeCell ref="B18:F18"/>
    <mergeCell ref="A24:F25"/>
    <mergeCell ref="A27:C27"/>
    <mergeCell ref="D27:F27"/>
    <mergeCell ref="A28:C28"/>
    <mergeCell ref="D28:F28"/>
    <mergeCell ref="A29:C29"/>
    <mergeCell ref="D29:F29"/>
  </mergeCell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8A8F"/>
    <pageSetUpPr fitToPage="true"/>
  </sheetPr>
  <dimension ref="A1:I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32"/>
    <col collapsed="false" customWidth="true" hidden="false" outlineLevel="0" max="4" min="4" style="1" width="56"/>
    <col collapsed="false" customWidth="true" hidden="false" outlineLevel="0" max="5" min="5" style="1" width="13"/>
    <col collapsed="false" customWidth="true" hidden="false" outlineLevel="0" max="6" min="6" style="1" width="10"/>
    <col collapsed="false" customWidth="true" hidden="false" outlineLevel="0" max="7" min="7" style="1" width="32"/>
    <col collapsed="false" customWidth="true" hidden="false" outlineLevel="0" max="8" min="8" style="1" width="52"/>
    <col collapsed="false" customWidth="true" hidden="false" outlineLevel="0" max="9" min="9" style="1" width="34"/>
  </cols>
  <sheetData>
    <row r="1" customFormat="false" ht="30" hidden="false" customHeight="true" outlineLevel="0" collapsed="false">
      <c r="A1" s="2" t="s">
        <v>35</v>
      </c>
      <c r="B1" s="2"/>
      <c r="C1" s="2"/>
      <c r="D1" s="2"/>
      <c r="E1" s="2"/>
      <c r="F1" s="2"/>
      <c r="G1" s="2"/>
      <c r="H1" s="2"/>
      <c r="I1" s="2"/>
    </row>
    <row r="2" customFormat="false" ht="18" hidden="false" customHeight="true" outlineLevel="0" collapsed="false">
      <c r="A2" s="3" t="s">
        <v>36</v>
      </c>
      <c r="B2" s="3"/>
      <c r="C2" s="3"/>
      <c r="D2" s="3"/>
      <c r="E2" s="3"/>
      <c r="F2" s="3"/>
      <c r="G2" s="3"/>
      <c r="H2" s="3"/>
      <c r="I2" s="3"/>
    </row>
    <row r="4" customFormat="false" ht="25.5" hidden="false" customHeight="true" outlineLevel="0" collapsed="false">
      <c r="A4" s="16" t="s">
        <v>18</v>
      </c>
      <c r="B4" s="6" t="s">
        <v>19</v>
      </c>
      <c r="C4" s="6" t="s">
        <v>20</v>
      </c>
      <c r="D4" s="6" t="s">
        <v>37</v>
      </c>
      <c r="E4" s="16" t="s">
        <v>7</v>
      </c>
      <c r="F4" s="16" t="s">
        <v>21</v>
      </c>
      <c r="G4" s="6" t="s">
        <v>38</v>
      </c>
      <c r="H4" s="6" t="s">
        <v>39</v>
      </c>
      <c r="I4" s="6" t="s">
        <v>22</v>
      </c>
    </row>
    <row r="5" customFormat="false" ht="45" hidden="false" customHeight="true" outlineLevel="0" collapsed="false">
      <c r="A5" s="17" t="s">
        <v>40</v>
      </c>
      <c r="B5" s="18" t="s">
        <v>41</v>
      </c>
      <c r="C5" s="19" t="s">
        <v>42</v>
      </c>
      <c r="D5" s="18" t="s">
        <v>43</v>
      </c>
      <c r="E5" s="17" t="s">
        <v>9</v>
      </c>
      <c r="F5" s="17" t="s">
        <v>26</v>
      </c>
      <c r="G5" s="18" t="s">
        <v>44</v>
      </c>
      <c r="H5" s="18" t="s">
        <v>45</v>
      </c>
      <c r="I5" s="20"/>
    </row>
    <row r="6" customFormat="false" ht="31.5" hidden="false" customHeight="true" outlineLevel="0" collapsed="false">
      <c r="A6" s="21" t="s">
        <v>46</v>
      </c>
      <c r="B6" s="22" t="s">
        <v>41</v>
      </c>
      <c r="C6" s="23" t="s">
        <v>47</v>
      </c>
      <c r="D6" s="22" t="s">
        <v>48</v>
      </c>
      <c r="E6" s="21" t="s">
        <v>9</v>
      </c>
      <c r="F6" s="21" t="s">
        <v>26</v>
      </c>
      <c r="G6" s="22" t="s">
        <v>49</v>
      </c>
      <c r="H6" s="22" t="s">
        <v>50</v>
      </c>
      <c r="I6" s="20"/>
    </row>
    <row r="7" customFormat="false" ht="31.5" hidden="false" customHeight="true" outlineLevel="0" collapsed="false">
      <c r="A7" s="17" t="s">
        <v>51</v>
      </c>
      <c r="B7" s="18" t="s">
        <v>41</v>
      </c>
      <c r="C7" s="19" t="s">
        <v>52</v>
      </c>
      <c r="D7" s="18" t="s">
        <v>53</v>
      </c>
      <c r="E7" s="17" t="s">
        <v>9</v>
      </c>
      <c r="F7" s="17" t="s">
        <v>26</v>
      </c>
      <c r="G7" s="18" t="s">
        <v>54</v>
      </c>
      <c r="H7" s="18" t="s">
        <v>55</v>
      </c>
      <c r="I7" s="20"/>
    </row>
    <row r="8" customFormat="false" ht="31.5" hidden="false" customHeight="true" outlineLevel="0" collapsed="false">
      <c r="A8" s="21" t="s">
        <v>56</v>
      </c>
      <c r="B8" s="22" t="s">
        <v>41</v>
      </c>
      <c r="C8" s="23" t="s">
        <v>57</v>
      </c>
      <c r="D8" s="22" t="s">
        <v>58</v>
      </c>
      <c r="E8" s="21" t="s">
        <v>9</v>
      </c>
      <c r="F8" s="21" t="s">
        <v>26</v>
      </c>
      <c r="G8" s="22" t="s">
        <v>54</v>
      </c>
      <c r="H8" s="22" t="s">
        <v>59</v>
      </c>
      <c r="I8" s="20"/>
    </row>
    <row r="9" customFormat="false" ht="31.5" hidden="false" customHeight="true" outlineLevel="0" collapsed="false">
      <c r="A9" s="17" t="s">
        <v>60</v>
      </c>
      <c r="B9" s="18" t="s">
        <v>41</v>
      </c>
      <c r="C9" s="19" t="s">
        <v>61</v>
      </c>
      <c r="D9" s="18" t="s">
        <v>62</v>
      </c>
      <c r="E9" s="17" t="s">
        <v>9</v>
      </c>
      <c r="F9" s="17" t="s">
        <v>26</v>
      </c>
      <c r="G9" s="18" t="s">
        <v>63</v>
      </c>
      <c r="H9" s="18" t="s">
        <v>64</v>
      </c>
      <c r="I9" s="20"/>
    </row>
    <row r="10" customFormat="false" ht="31.5" hidden="false" customHeight="true" outlineLevel="0" collapsed="false">
      <c r="A10" s="21" t="s">
        <v>65</v>
      </c>
      <c r="B10" s="22" t="s">
        <v>41</v>
      </c>
      <c r="C10" s="23" t="s">
        <v>66</v>
      </c>
      <c r="D10" s="22" t="s">
        <v>67</v>
      </c>
      <c r="E10" s="21" t="s">
        <v>9</v>
      </c>
      <c r="F10" s="21" t="s">
        <v>68</v>
      </c>
      <c r="G10" s="22" t="s">
        <v>69</v>
      </c>
      <c r="H10" s="22" t="s">
        <v>70</v>
      </c>
      <c r="I10" s="20"/>
    </row>
    <row r="11" customFormat="false" ht="27.75" hidden="false" customHeight="true" outlineLevel="0" collapsed="false">
      <c r="A11" s="17" t="s">
        <v>71</v>
      </c>
      <c r="B11" s="18" t="s">
        <v>41</v>
      </c>
      <c r="C11" s="19" t="s">
        <v>72</v>
      </c>
      <c r="D11" s="18" t="s">
        <v>73</v>
      </c>
      <c r="E11" s="17" t="s">
        <v>9</v>
      </c>
      <c r="F11" s="17" t="s">
        <v>68</v>
      </c>
      <c r="G11" s="18" t="s">
        <v>74</v>
      </c>
      <c r="H11" s="18" t="s">
        <v>70</v>
      </c>
      <c r="I11" s="20"/>
    </row>
    <row r="12" customFormat="false" ht="31.5" hidden="false" customHeight="true" outlineLevel="0" collapsed="false">
      <c r="A12" s="21" t="s">
        <v>75</v>
      </c>
      <c r="B12" s="22" t="s">
        <v>41</v>
      </c>
      <c r="C12" s="23" t="s">
        <v>76</v>
      </c>
      <c r="D12" s="22" t="s">
        <v>77</v>
      </c>
      <c r="E12" s="21" t="s">
        <v>9</v>
      </c>
      <c r="F12" s="21" t="s">
        <v>68</v>
      </c>
      <c r="G12" s="22" t="s">
        <v>78</v>
      </c>
      <c r="H12" s="22" t="s">
        <v>79</v>
      </c>
      <c r="I12" s="20"/>
    </row>
    <row r="13" customFormat="false" ht="45" hidden="false" customHeight="true" outlineLevel="0" collapsed="false">
      <c r="A13" s="17" t="s">
        <v>80</v>
      </c>
      <c r="B13" s="18" t="s">
        <v>41</v>
      </c>
      <c r="C13" s="19" t="s">
        <v>81</v>
      </c>
      <c r="D13" s="18" t="s">
        <v>82</v>
      </c>
      <c r="E13" s="17" t="s">
        <v>13</v>
      </c>
      <c r="F13" s="17" t="s">
        <v>26</v>
      </c>
      <c r="G13" s="18" t="s">
        <v>83</v>
      </c>
      <c r="H13" s="18" t="s">
        <v>84</v>
      </c>
      <c r="I13" s="20"/>
    </row>
    <row r="14" customFormat="false" ht="31.5" hidden="false" customHeight="true" outlineLevel="0" collapsed="false">
      <c r="A14" s="21" t="s">
        <v>85</v>
      </c>
      <c r="B14" s="22" t="s">
        <v>41</v>
      </c>
      <c r="C14" s="23" t="s">
        <v>86</v>
      </c>
      <c r="D14" s="22" t="s">
        <v>87</v>
      </c>
      <c r="E14" s="21" t="s">
        <v>13</v>
      </c>
      <c r="F14" s="21" t="s">
        <v>26</v>
      </c>
      <c r="G14" s="22" t="s">
        <v>88</v>
      </c>
      <c r="H14" s="22" t="s">
        <v>89</v>
      </c>
      <c r="I14" s="20"/>
    </row>
    <row r="15" customFormat="false" ht="31.5" hidden="false" customHeight="true" outlineLevel="0" collapsed="false">
      <c r="A15" s="17" t="s">
        <v>90</v>
      </c>
      <c r="B15" s="18" t="s">
        <v>41</v>
      </c>
      <c r="C15" s="19" t="s">
        <v>91</v>
      </c>
      <c r="D15" s="18" t="s">
        <v>92</v>
      </c>
      <c r="E15" s="17" t="s">
        <v>13</v>
      </c>
      <c r="F15" s="17" t="s">
        <v>68</v>
      </c>
      <c r="G15" s="18" t="s">
        <v>93</v>
      </c>
      <c r="H15" s="18" t="s">
        <v>94</v>
      </c>
      <c r="I15" s="20"/>
    </row>
    <row r="16" customFormat="false" ht="31.5" hidden="false" customHeight="true" outlineLevel="0" collapsed="false">
      <c r="A16" s="21" t="s">
        <v>95</v>
      </c>
      <c r="B16" s="22" t="s">
        <v>41</v>
      </c>
      <c r="C16" s="23" t="s">
        <v>96</v>
      </c>
      <c r="D16" s="22" t="s">
        <v>97</v>
      </c>
      <c r="E16" s="21" t="s">
        <v>13</v>
      </c>
      <c r="F16" s="21" t="s">
        <v>68</v>
      </c>
      <c r="G16" s="22" t="s">
        <v>98</v>
      </c>
      <c r="H16" s="22" t="s">
        <v>99</v>
      </c>
      <c r="I16" s="20"/>
    </row>
    <row r="17" customFormat="false" ht="31.5" hidden="false" customHeight="true" outlineLevel="0" collapsed="false">
      <c r="A17" s="17" t="s">
        <v>100</v>
      </c>
      <c r="B17" s="18" t="s">
        <v>41</v>
      </c>
      <c r="C17" s="19" t="s">
        <v>101</v>
      </c>
      <c r="D17" s="18" t="s">
        <v>102</v>
      </c>
      <c r="E17" s="17" t="s">
        <v>13</v>
      </c>
      <c r="F17" s="17" t="s">
        <v>26</v>
      </c>
      <c r="G17" s="18" t="s">
        <v>103</v>
      </c>
      <c r="H17" s="18" t="s">
        <v>104</v>
      </c>
      <c r="I17" s="20"/>
    </row>
    <row r="18" customFormat="false" ht="31.5" hidden="false" customHeight="true" outlineLevel="0" collapsed="false">
      <c r="A18" s="21" t="s">
        <v>105</v>
      </c>
      <c r="B18" s="22" t="s">
        <v>41</v>
      </c>
      <c r="C18" s="23" t="s">
        <v>106</v>
      </c>
      <c r="D18" s="22" t="s">
        <v>107</v>
      </c>
      <c r="E18" s="21" t="s">
        <v>13</v>
      </c>
      <c r="F18" s="21" t="s">
        <v>108</v>
      </c>
      <c r="G18" s="22" t="s">
        <v>109</v>
      </c>
      <c r="H18" s="22" t="s">
        <v>110</v>
      </c>
      <c r="I18" s="20"/>
    </row>
    <row r="19" customFormat="false" ht="31.5" hidden="false" customHeight="true" outlineLevel="0" collapsed="false">
      <c r="A19" s="17" t="s">
        <v>111</v>
      </c>
      <c r="B19" s="18" t="s">
        <v>112</v>
      </c>
      <c r="C19" s="19" t="s">
        <v>113</v>
      </c>
      <c r="D19" s="18" t="s">
        <v>114</v>
      </c>
      <c r="E19" s="17" t="s">
        <v>9</v>
      </c>
      <c r="F19" s="17" t="s">
        <v>26</v>
      </c>
      <c r="G19" s="18" t="s">
        <v>115</v>
      </c>
      <c r="H19" s="18" t="s">
        <v>116</v>
      </c>
      <c r="I19" s="20"/>
    </row>
    <row r="20" customFormat="false" ht="31.5" hidden="false" customHeight="true" outlineLevel="0" collapsed="false">
      <c r="A20" s="21" t="s">
        <v>117</v>
      </c>
      <c r="B20" s="22" t="s">
        <v>112</v>
      </c>
      <c r="C20" s="23" t="s">
        <v>118</v>
      </c>
      <c r="D20" s="22" t="s">
        <v>119</v>
      </c>
      <c r="E20" s="21" t="s">
        <v>9</v>
      </c>
      <c r="F20" s="21" t="s">
        <v>26</v>
      </c>
      <c r="G20" s="22" t="s">
        <v>120</v>
      </c>
      <c r="H20" s="22" t="s">
        <v>121</v>
      </c>
      <c r="I20" s="20"/>
    </row>
    <row r="21" customFormat="false" ht="31.5" hidden="false" customHeight="true" outlineLevel="0" collapsed="false">
      <c r="A21" s="17" t="s">
        <v>122</v>
      </c>
      <c r="B21" s="18" t="s">
        <v>112</v>
      </c>
      <c r="C21" s="19" t="s">
        <v>123</v>
      </c>
      <c r="D21" s="18" t="s">
        <v>124</v>
      </c>
      <c r="E21" s="17" t="s">
        <v>9</v>
      </c>
      <c r="F21" s="17" t="s">
        <v>26</v>
      </c>
      <c r="G21" s="18" t="s">
        <v>120</v>
      </c>
      <c r="H21" s="18" t="s">
        <v>125</v>
      </c>
      <c r="I21" s="20"/>
    </row>
    <row r="22" customFormat="false" ht="31.5" hidden="false" customHeight="true" outlineLevel="0" collapsed="false">
      <c r="A22" s="21" t="s">
        <v>126</v>
      </c>
      <c r="B22" s="22" t="s">
        <v>112</v>
      </c>
      <c r="C22" s="23" t="s">
        <v>127</v>
      </c>
      <c r="D22" s="22" t="s">
        <v>128</v>
      </c>
      <c r="E22" s="21" t="s">
        <v>9</v>
      </c>
      <c r="F22" s="21" t="s">
        <v>26</v>
      </c>
      <c r="G22" s="22" t="s">
        <v>120</v>
      </c>
      <c r="H22" s="22" t="s">
        <v>129</v>
      </c>
      <c r="I22" s="20"/>
    </row>
    <row r="23" customFormat="false" ht="31.5" hidden="false" customHeight="true" outlineLevel="0" collapsed="false">
      <c r="A23" s="17" t="s">
        <v>130</v>
      </c>
      <c r="B23" s="18" t="s">
        <v>112</v>
      </c>
      <c r="C23" s="19" t="s">
        <v>131</v>
      </c>
      <c r="D23" s="18" t="s">
        <v>132</v>
      </c>
      <c r="E23" s="17" t="s">
        <v>9</v>
      </c>
      <c r="F23" s="17" t="s">
        <v>68</v>
      </c>
      <c r="G23" s="18" t="s">
        <v>120</v>
      </c>
      <c r="H23" s="18" t="s">
        <v>133</v>
      </c>
      <c r="I23" s="20"/>
    </row>
    <row r="24" customFormat="false" ht="31.5" hidden="false" customHeight="true" outlineLevel="0" collapsed="false">
      <c r="A24" s="21" t="s">
        <v>134</v>
      </c>
      <c r="B24" s="22" t="s">
        <v>112</v>
      </c>
      <c r="C24" s="23" t="s">
        <v>135</v>
      </c>
      <c r="D24" s="22" t="s">
        <v>136</v>
      </c>
      <c r="E24" s="21" t="s">
        <v>13</v>
      </c>
      <c r="F24" s="21" t="s">
        <v>26</v>
      </c>
      <c r="G24" s="22" t="s">
        <v>137</v>
      </c>
      <c r="H24" s="22" t="s">
        <v>138</v>
      </c>
      <c r="I24" s="20"/>
    </row>
    <row r="25" customFormat="false" ht="31.5" hidden="false" customHeight="true" outlineLevel="0" collapsed="false">
      <c r="A25" s="17" t="s">
        <v>139</v>
      </c>
      <c r="B25" s="18" t="s">
        <v>112</v>
      </c>
      <c r="C25" s="19" t="s">
        <v>140</v>
      </c>
      <c r="D25" s="18" t="s">
        <v>141</v>
      </c>
      <c r="E25" s="17" t="s">
        <v>13</v>
      </c>
      <c r="F25" s="17" t="s">
        <v>26</v>
      </c>
      <c r="G25" s="18" t="s">
        <v>142</v>
      </c>
      <c r="H25" s="18" t="s">
        <v>143</v>
      </c>
      <c r="I25" s="20"/>
    </row>
    <row r="26" customFormat="false" ht="27.75" hidden="false" customHeight="true" outlineLevel="0" collapsed="false">
      <c r="A26" s="21" t="s">
        <v>144</v>
      </c>
      <c r="B26" s="22" t="s">
        <v>112</v>
      </c>
      <c r="C26" s="23" t="s">
        <v>145</v>
      </c>
      <c r="D26" s="22" t="s">
        <v>146</v>
      </c>
      <c r="E26" s="21" t="s">
        <v>13</v>
      </c>
      <c r="F26" s="21" t="s">
        <v>68</v>
      </c>
      <c r="G26" s="22" t="s">
        <v>147</v>
      </c>
      <c r="H26" s="22" t="s">
        <v>110</v>
      </c>
      <c r="I26" s="20"/>
    </row>
    <row r="27" customFormat="false" ht="31.5" hidden="false" customHeight="true" outlineLevel="0" collapsed="false">
      <c r="A27" s="17" t="s">
        <v>148</v>
      </c>
      <c r="B27" s="18" t="s">
        <v>24</v>
      </c>
      <c r="C27" s="19" t="s">
        <v>149</v>
      </c>
      <c r="D27" s="18" t="s">
        <v>150</v>
      </c>
      <c r="E27" s="17" t="s">
        <v>9</v>
      </c>
      <c r="F27" s="17" t="s">
        <v>26</v>
      </c>
      <c r="G27" s="18" t="s">
        <v>151</v>
      </c>
      <c r="H27" s="18" t="s">
        <v>152</v>
      </c>
      <c r="I27" s="20"/>
    </row>
    <row r="28" customFormat="false" ht="31.5" hidden="false" customHeight="true" outlineLevel="0" collapsed="false">
      <c r="A28" s="21" t="s">
        <v>153</v>
      </c>
      <c r="B28" s="22" t="s">
        <v>24</v>
      </c>
      <c r="C28" s="23" t="s">
        <v>154</v>
      </c>
      <c r="D28" s="22" t="s">
        <v>155</v>
      </c>
      <c r="E28" s="21" t="s">
        <v>9</v>
      </c>
      <c r="F28" s="21" t="s">
        <v>26</v>
      </c>
      <c r="G28" s="22" t="s">
        <v>120</v>
      </c>
      <c r="H28" s="22" t="s">
        <v>156</v>
      </c>
      <c r="I28" s="20"/>
    </row>
    <row r="29" customFormat="false" ht="31.5" hidden="false" customHeight="true" outlineLevel="0" collapsed="false">
      <c r="A29" s="17" t="s">
        <v>157</v>
      </c>
      <c r="B29" s="18" t="s">
        <v>24</v>
      </c>
      <c r="C29" s="19" t="s">
        <v>158</v>
      </c>
      <c r="D29" s="18" t="s">
        <v>159</v>
      </c>
      <c r="E29" s="17" t="s">
        <v>9</v>
      </c>
      <c r="F29" s="17" t="s">
        <v>26</v>
      </c>
      <c r="G29" s="18" t="s">
        <v>160</v>
      </c>
      <c r="H29" s="18" t="s">
        <v>161</v>
      </c>
      <c r="I29" s="20"/>
    </row>
    <row r="30" customFormat="false" ht="31.5" hidden="false" customHeight="true" outlineLevel="0" collapsed="false">
      <c r="A30" s="21" t="s">
        <v>162</v>
      </c>
      <c r="B30" s="22" t="s">
        <v>24</v>
      </c>
      <c r="C30" s="23" t="s">
        <v>163</v>
      </c>
      <c r="D30" s="22" t="s">
        <v>164</v>
      </c>
      <c r="E30" s="21" t="s">
        <v>9</v>
      </c>
      <c r="F30" s="21" t="s">
        <v>26</v>
      </c>
      <c r="G30" s="22" t="s">
        <v>160</v>
      </c>
      <c r="H30" s="22" t="s">
        <v>165</v>
      </c>
      <c r="I30" s="20"/>
    </row>
    <row r="31" customFormat="false" ht="31.5" hidden="false" customHeight="true" outlineLevel="0" collapsed="false">
      <c r="A31" s="17" t="s">
        <v>166</v>
      </c>
      <c r="B31" s="18" t="s">
        <v>24</v>
      </c>
      <c r="C31" s="19" t="s">
        <v>167</v>
      </c>
      <c r="D31" s="18" t="s">
        <v>168</v>
      </c>
      <c r="E31" s="17" t="s">
        <v>9</v>
      </c>
      <c r="F31" s="17" t="s">
        <v>68</v>
      </c>
      <c r="G31" s="18" t="s">
        <v>120</v>
      </c>
      <c r="H31" s="18" t="s">
        <v>169</v>
      </c>
      <c r="I31" s="20"/>
    </row>
    <row r="32" customFormat="false" ht="31.5" hidden="false" customHeight="true" outlineLevel="0" collapsed="false">
      <c r="A32" s="21" t="s">
        <v>170</v>
      </c>
      <c r="B32" s="22" t="s">
        <v>24</v>
      </c>
      <c r="C32" s="23" t="s">
        <v>171</v>
      </c>
      <c r="D32" s="22" t="s">
        <v>172</v>
      </c>
      <c r="E32" s="21" t="s">
        <v>9</v>
      </c>
      <c r="F32" s="21" t="s">
        <v>26</v>
      </c>
      <c r="G32" s="22" t="s">
        <v>173</v>
      </c>
      <c r="H32" s="22" t="s">
        <v>174</v>
      </c>
      <c r="I32" s="20"/>
    </row>
    <row r="33" customFormat="false" ht="31.5" hidden="false" customHeight="true" outlineLevel="0" collapsed="false">
      <c r="A33" s="17" t="s">
        <v>175</v>
      </c>
      <c r="B33" s="18" t="s">
        <v>24</v>
      </c>
      <c r="C33" s="19" t="s">
        <v>176</v>
      </c>
      <c r="D33" s="18" t="s">
        <v>177</v>
      </c>
      <c r="E33" s="17" t="s">
        <v>9</v>
      </c>
      <c r="F33" s="17" t="s">
        <v>26</v>
      </c>
      <c r="G33" s="18" t="s">
        <v>120</v>
      </c>
      <c r="H33" s="18" t="s">
        <v>178</v>
      </c>
      <c r="I33" s="20"/>
    </row>
    <row r="34" customFormat="false" ht="31.5" hidden="false" customHeight="true" outlineLevel="0" collapsed="false">
      <c r="A34" s="21" t="s">
        <v>179</v>
      </c>
      <c r="B34" s="22" t="s">
        <v>24</v>
      </c>
      <c r="C34" s="23" t="s">
        <v>180</v>
      </c>
      <c r="D34" s="22" t="s">
        <v>181</v>
      </c>
      <c r="E34" s="21" t="s">
        <v>9</v>
      </c>
      <c r="F34" s="21" t="s">
        <v>68</v>
      </c>
      <c r="G34" s="22" t="s">
        <v>120</v>
      </c>
      <c r="H34" s="22" t="s">
        <v>182</v>
      </c>
      <c r="I34" s="20"/>
    </row>
    <row r="35" customFormat="false" ht="27.75" hidden="false" customHeight="true" outlineLevel="0" collapsed="false">
      <c r="A35" s="17" t="s">
        <v>183</v>
      </c>
      <c r="B35" s="18" t="s">
        <v>24</v>
      </c>
      <c r="C35" s="19" t="s">
        <v>184</v>
      </c>
      <c r="D35" s="18" t="s">
        <v>185</v>
      </c>
      <c r="E35" s="17" t="s">
        <v>9</v>
      </c>
      <c r="F35" s="17" t="s">
        <v>26</v>
      </c>
      <c r="G35" s="18" t="s">
        <v>186</v>
      </c>
      <c r="H35" s="18" t="s">
        <v>187</v>
      </c>
      <c r="I35" s="20"/>
    </row>
    <row r="36" customFormat="false" ht="31.5" hidden="false" customHeight="true" outlineLevel="0" collapsed="false">
      <c r="A36" s="21" t="s">
        <v>188</v>
      </c>
      <c r="B36" s="22" t="s">
        <v>24</v>
      </c>
      <c r="C36" s="23" t="s">
        <v>25</v>
      </c>
      <c r="D36" s="22" t="s">
        <v>189</v>
      </c>
      <c r="E36" s="21" t="s">
        <v>13</v>
      </c>
      <c r="F36" s="21" t="s">
        <v>26</v>
      </c>
      <c r="G36" s="22" t="s">
        <v>190</v>
      </c>
      <c r="H36" s="22" t="s">
        <v>191</v>
      </c>
      <c r="I36" s="20"/>
    </row>
    <row r="37" customFormat="false" ht="31.5" hidden="false" customHeight="true" outlineLevel="0" collapsed="false">
      <c r="A37" s="17" t="s">
        <v>192</v>
      </c>
      <c r="B37" s="18" t="s">
        <v>24</v>
      </c>
      <c r="C37" s="19" t="s">
        <v>193</v>
      </c>
      <c r="D37" s="18" t="s">
        <v>194</v>
      </c>
      <c r="E37" s="17" t="s">
        <v>13</v>
      </c>
      <c r="F37" s="17" t="s">
        <v>26</v>
      </c>
      <c r="G37" s="18" t="s">
        <v>195</v>
      </c>
      <c r="H37" s="18" t="s">
        <v>110</v>
      </c>
      <c r="I37" s="20"/>
    </row>
    <row r="38" customFormat="false" ht="31.5" hidden="false" customHeight="true" outlineLevel="0" collapsed="false">
      <c r="A38" s="21" t="s">
        <v>23</v>
      </c>
      <c r="B38" s="22" t="s">
        <v>24</v>
      </c>
      <c r="C38" s="23" t="s">
        <v>196</v>
      </c>
      <c r="D38" s="22" t="s">
        <v>197</v>
      </c>
      <c r="E38" s="21" t="s">
        <v>13</v>
      </c>
      <c r="F38" s="21" t="s">
        <v>26</v>
      </c>
      <c r="G38" s="22" t="s">
        <v>198</v>
      </c>
      <c r="H38" s="22" t="s">
        <v>199</v>
      </c>
      <c r="I38" s="20"/>
    </row>
    <row r="39" customFormat="false" ht="31.5" hidden="false" customHeight="true" outlineLevel="0" collapsed="false">
      <c r="A39" s="17" t="s">
        <v>200</v>
      </c>
      <c r="B39" s="18" t="s">
        <v>24</v>
      </c>
      <c r="C39" s="19" t="s">
        <v>201</v>
      </c>
      <c r="D39" s="18" t="s">
        <v>202</v>
      </c>
      <c r="E39" s="17" t="s">
        <v>13</v>
      </c>
      <c r="F39" s="17" t="s">
        <v>68</v>
      </c>
      <c r="G39" s="18" t="s">
        <v>203</v>
      </c>
      <c r="H39" s="18" t="s">
        <v>204</v>
      </c>
      <c r="I39" s="20"/>
    </row>
    <row r="40" customFormat="false" ht="31.5" hidden="false" customHeight="true" outlineLevel="0" collapsed="false">
      <c r="A40" s="21" t="s">
        <v>205</v>
      </c>
      <c r="B40" s="22" t="s">
        <v>24</v>
      </c>
      <c r="C40" s="23" t="s">
        <v>206</v>
      </c>
      <c r="D40" s="22" t="s">
        <v>207</v>
      </c>
      <c r="E40" s="21" t="s">
        <v>13</v>
      </c>
      <c r="F40" s="21" t="s">
        <v>68</v>
      </c>
      <c r="G40" s="22" t="s">
        <v>208</v>
      </c>
      <c r="H40" s="22" t="s">
        <v>209</v>
      </c>
      <c r="I40" s="20"/>
    </row>
    <row r="41" customFormat="false" ht="27.75" hidden="false" customHeight="true" outlineLevel="0" collapsed="false">
      <c r="A41" s="17" t="s">
        <v>210</v>
      </c>
      <c r="B41" s="18" t="s">
        <v>24</v>
      </c>
      <c r="C41" s="19" t="s">
        <v>211</v>
      </c>
      <c r="D41" s="18" t="s">
        <v>212</v>
      </c>
      <c r="E41" s="17" t="s">
        <v>13</v>
      </c>
      <c r="F41" s="17" t="s">
        <v>68</v>
      </c>
      <c r="G41" s="18" t="s">
        <v>120</v>
      </c>
      <c r="H41" s="18" t="s">
        <v>213</v>
      </c>
      <c r="I41" s="20"/>
    </row>
    <row r="42" customFormat="false" ht="31.5" hidden="false" customHeight="true" outlineLevel="0" collapsed="false">
      <c r="A42" s="21" t="s">
        <v>214</v>
      </c>
      <c r="B42" s="22" t="s">
        <v>24</v>
      </c>
      <c r="C42" s="23" t="s">
        <v>215</v>
      </c>
      <c r="D42" s="22" t="s">
        <v>216</v>
      </c>
      <c r="E42" s="21" t="s">
        <v>13</v>
      </c>
      <c r="F42" s="21" t="s">
        <v>108</v>
      </c>
      <c r="G42" s="22" t="s">
        <v>217</v>
      </c>
      <c r="H42" s="22" t="s">
        <v>218</v>
      </c>
      <c r="I42" s="20"/>
    </row>
    <row r="43" customFormat="false" ht="27.75" hidden="false" customHeight="true" outlineLevel="0" collapsed="false">
      <c r="A43" s="17" t="s">
        <v>219</v>
      </c>
      <c r="B43" s="18" t="s">
        <v>220</v>
      </c>
      <c r="C43" s="19" t="s">
        <v>221</v>
      </c>
      <c r="D43" s="18" t="s">
        <v>222</v>
      </c>
      <c r="E43" s="17" t="s">
        <v>9</v>
      </c>
      <c r="F43" s="17" t="s">
        <v>26</v>
      </c>
      <c r="G43" s="18" t="s">
        <v>120</v>
      </c>
      <c r="H43" s="18" t="s">
        <v>223</v>
      </c>
      <c r="I43" s="20"/>
    </row>
    <row r="44" customFormat="false" ht="27.75" hidden="false" customHeight="true" outlineLevel="0" collapsed="false">
      <c r="A44" s="21" t="s">
        <v>224</v>
      </c>
      <c r="B44" s="22" t="s">
        <v>220</v>
      </c>
      <c r="C44" s="23" t="s">
        <v>225</v>
      </c>
      <c r="D44" s="22" t="s">
        <v>226</v>
      </c>
      <c r="E44" s="21" t="s">
        <v>9</v>
      </c>
      <c r="F44" s="21" t="s">
        <v>26</v>
      </c>
      <c r="G44" s="22" t="s">
        <v>120</v>
      </c>
      <c r="H44" s="22" t="s">
        <v>223</v>
      </c>
      <c r="I44" s="20"/>
    </row>
    <row r="45" customFormat="false" ht="31.5" hidden="false" customHeight="true" outlineLevel="0" collapsed="false">
      <c r="A45" s="17" t="s">
        <v>227</v>
      </c>
      <c r="B45" s="18" t="s">
        <v>220</v>
      </c>
      <c r="C45" s="19" t="s">
        <v>228</v>
      </c>
      <c r="D45" s="18" t="s">
        <v>229</v>
      </c>
      <c r="E45" s="17" t="s">
        <v>9</v>
      </c>
      <c r="F45" s="17" t="s">
        <v>26</v>
      </c>
      <c r="G45" s="18" t="s">
        <v>120</v>
      </c>
      <c r="H45" s="18" t="s">
        <v>223</v>
      </c>
      <c r="I45" s="20"/>
    </row>
    <row r="46" customFormat="false" ht="31.5" hidden="false" customHeight="true" outlineLevel="0" collapsed="false">
      <c r="A46" s="21" t="s">
        <v>230</v>
      </c>
      <c r="B46" s="22" t="s">
        <v>220</v>
      </c>
      <c r="C46" s="23" t="s">
        <v>231</v>
      </c>
      <c r="D46" s="22" t="s">
        <v>232</v>
      </c>
      <c r="E46" s="21" t="s">
        <v>9</v>
      </c>
      <c r="F46" s="21" t="s">
        <v>68</v>
      </c>
      <c r="G46" s="22" t="s">
        <v>120</v>
      </c>
      <c r="H46" s="22" t="s">
        <v>233</v>
      </c>
      <c r="I46" s="20"/>
    </row>
    <row r="47" customFormat="false" ht="31.5" hidden="false" customHeight="true" outlineLevel="0" collapsed="false">
      <c r="A47" s="17" t="s">
        <v>234</v>
      </c>
      <c r="B47" s="18" t="s">
        <v>220</v>
      </c>
      <c r="C47" s="19" t="s">
        <v>235</v>
      </c>
      <c r="D47" s="18" t="s">
        <v>236</v>
      </c>
      <c r="E47" s="17" t="s">
        <v>13</v>
      </c>
      <c r="F47" s="17" t="s">
        <v>26</v>
      </c>
      <c r="G47" s="18" t="s">
        <v>237</v>
      </c>
      <c r="H47" s="18" t="s">
        <v>238</v>
      </c>
      <c r="I47" s="20"/>
    </row>
    <row r="48" customFormat="false" ht="31.5" hidden="false" customHeight="true" outlineLevel="0" collapsed="false">
      <c r="A48" s="21" t="s">
        <v>239</v>
      </c>
      <c r="B48" s="22" t="s">
        <v>220</v>
      </c>
      <c r="C48" s="23" t="s">
        <v>240</v>
      </c>
      <c r="D48" s="22" t="s">
        <v>241</v>
      </c>
      <c r="E48" s="21" t="s">
        <v>13</v>
      </c>
      <c r="F48" s="21" t="s">
        <v>26</v>
      </c>
      <c r="G48" s="22" t="s">
        <v>242</v>
      </c>
      <c r="H48" s="22" t="s">
        <v>243</v>
      </c>
      <c r="I48" s="20"/>
    </row>
    <row r="49" customFormat="false" ht="31.5" hidden="false" customHeight="true" outlineLevel="0" collapsed="false">
      <c r="A49" s="17" t="s">
        <v>244</v>
      </c>
      <c r="B49" s="18" t="s">
        <v>220</v>
      </c>
      <c r="C49" s="19" t="s">
        <v>245</v>
      </c>
      <c r="D49" s="18" t="s">
        <v>246</v>
      </c>
      <c r="E49" s="17" t="s">
        <v>13</v>
      </c>
      <c r="F49" s="17" t="s">
        <v>26</v>
      </c>
      <c r="G49" s="18" t="s">
        <v>247</v>
      </c>
      <c r="H49" s="18" t="s">
        <v>248</v>
      </c>
      <c r="I49" s="20"/>
    </row>
    <row r="50" customFormat="false" ht="31.5" hidden="false" customHeight="true" outlineLevel="0" collapsed="false">
      <c r="A50" s="21" t="s">
        <v>249</v>
      </c>
      <c r="B50" s="22" t="s">
        <v>220</v>
      </c>
      <c r="C50" s="23" t="s">
        <v>250</v>
      </c>
      <c r="D50" s="22" t="s">
        <v>251</v>
      </c>
      <c r="E50" s="21" t="s">
        <v>13</v>
      </c>
      <c r="F50" s="21" t="s">
        <v>68</v>
      </c>
      <c r="G50" s="22" t="s">
        <v>120</v>
      </c>
      <c r="H50" s="22" t="s">
        <v>252</v>
      </c>
      <c r="I50" s="20"/>
    </row>
    <row r="51" customFormat="false" ht="31.5" hidden="false" customHeight="true" outlineLevel="0" collapsed="false">
      <c r="A51" s="17" t="s">
        <v>253</v>
      </c>
      <c r="B51" s="18" t="s">
        <v>220</v>
      </c>
      <c r="C51" s="19" t="s">
        <v>254</v>
      </c>
      <c r="D51" s="18" t="s">
        <v>255</v>
      </c>
      <c r="E51" s="17" t="s">
        <v>13</v>
      </c>
      <c r="F51" s="17" t="s">
        <v>68</v>
      </c>
      <c r="G51" s="18" t="s">
        <v>256</v>
      </c>
      <c r="H51" s="18" t="s">
        <v>257</v>
      </c>
      <c r="I51" s="20"/>
    </row>
    <row r="52" customFormat="false" ht="27.75" hidden="false" customHeight="true" outlineLevel="0" collapsed="false">
      <c r="A52" s="21" t="s">
        <v>258</v>
      </c>
      <c r="B52" s="22" t="s">
        <v>220</v>
      </c>
      <c r="C52" s="23" t="s">
        <v>259</v>
      </c>
      <c r="D52" s="22" t="s">
        <v>260</v>
      </c>
      <c r="E52" s="21" t="s">
        <v>13</v>
      </c>
      <c r="F52" s="21" t="s">
        <v>108</v>
      </c>
      <c r="G52" s="22" t="s">
        <v>120</v>
      </c>
      <c r="H52" s="22" t="s">
        <v>110</v>
      </c>
      <c r="I52" s="20"/>
    </row>
    <row r="53" customFormat="false" ht="31.5" hidden="false" customHeight="true" outlineLevel="0" collapsed="false">
      <c r="A53" s="17" t="s">
        <v>261</v>
      </c>
      <c r="B53" s="18" t="s">
        <v>262</v>
      </c>
      <c r="C53" s="19" t="s">
        <v>263</v>
      </c>
      <c r="D53" s="18" t="s">
        <v>264</v>
      </c>
      <c r="E53" s="17" t="s">
        <v>9</v>
      </c>
      <c r="F53" s="17" t="s">
        <v>26</v>
      </c>
      <c r="G53" s="18" t="s">
        <v>265</v>
      </c>
      <c r="H53" s="18" t="s">
        <v>266</v>
      </c>
      <c r="I53" s="20"/>
    </row>
    <row r="54" customFormat="false" ht="31.5" hidden="false" customHeight="true" outlineLevel="0" collapsed="false">
      <c r="A54" s="21" t="s">
        <v>267</v>
      </c>
      <c r="B54" s="22" t="s">
        <v>262</v>
      </c>
      <c r="C54" s="23" t="s">
        <v>268</v>
      </c>
      <c r="D54" s="22" t="s">
        <v>269</v>
      </c>
      <c r="E54" s="21" t="s">
        <v>9</v>
      </c>
      <c r="F54" s="21" t="s">
        <v>26</v>
      </c>
      <c r="G54" s="22" t="s">
        <v>120</v>
      </c>
      <c r="H54" s="22" t="s">
        <v>270</v>
      </c>
      <c r="I54" s="20"/>
    </row>
    <row r="55" customFormat="false" ht="31.5" hidden="false" customHeight="true" outlineLevel="0" collapsed="false">
      <c r="A55" s="17" t="s">
        <v>271</v>
      </c>
      <c r="B55" s="18" t="s">
        <v>262</v>
      </c>
      <c r="C55" s="19" t="s">
        <v>272</v>
      </c>
      <c r="D55" s="18" t="s">
        <v>273</v>
      </c>
      <c r="E55" s="17" t="s">
        <v>9</v>
      </c>
      <c r="F55" s="17" t="s">
        <v>26</v>
      </c>
      <c r="G55" s="18" t="s">
        <v>120</v>
      </c>
      <c r="H55" s="18" t="s">
        <v>274</v>
      </c>
      <c r="I55" s="20"/>
    </row>
    <row r="56" customFormat="false" ht="27.75" hidden="false" customHeight="true" outlineLevel="0" collapsed="false">
      <c r="A56" s="21" t="s">
        <v>275</v>
      </c>
      <c r="B56" s="22" t="s">
        <v>262</v>
      </c>
      <c r="C56" s="23" t="s">
        <v>276</v>
      </c>
      <c r="D56" s="22" t="s">
        <v>277</v>
      </c>
      <c r="E56" s="21" t="s">
        <v>9</v>
      </c>
      <c r="F56" s="21" t="s">
        <v>26</v>
      </c>
      <c r="G56" s="22" t="s">
        <v>120</v>
      </c>
      <c r="H56" s="22" t="s">
        <v>278</v>
      </c>
      <c r="I56" s="20"/>
    </row>
    <row r="57" customFormat="false" ht="31.5" hidden="false" customHeight="true" outlineLevel="0" collapsed="false">
      <c r="A57" s="17" t="s">
        <v>279</v>
      </c>
      <c r="B57" s="18" t="s">
        <v>262</v>
      </c>
      <c r="C57" s="19" t="s">
        <v>280</v>
      </c>
      <c r="D57" s="18" t="s">
        <v>281</v>
      </c>
      <c r="E57" s="17" t="s">
        <v>9</v>
      </c>
      <c r="F57" s="17" t="s">
        <v>68</v>
      </c>
      <c r="G57" s="18" t="s">
        <v>282</v>
      </c>
      <c r="H57" s="18" t="s">
        <v>283</v>
      </c>
      <c r="I57" s="20"/>
    </row>
    <row r="58" customFormat="false" ht="31.5" hidden="false" customHeight="true" outlineLevel="0" collapsed="false">
      <c r="A58" s="21" t="s">
        <v>284</v>
      </c>
      <c r="B58" s="22" t="s">
        <v>262</v>
      </c>
      <c r="C58" s="23" t="s">
        <v>285</v>
      </c>
      <c r="D58" s="22" t="s">
        <v>286</v>
      </c>
      <c r="E58" s="21" t="s">
        <v>9</v>
      </c>
      <c r="F58" s="21" t="s">
        <v>68</v>
      </c>
      <c r="G58" s="22" t="s">
        <v>287</v>
      </c>
      <c r="H58" s="22" t="s">
        <v>288</v>
      </c>
      <c r="I58" s="20"/>
    </row>
    <row r="59" customFormat="false" ht="31.5" hidden="false" customHeight="true" outlineLevel="0" collapsed="false">
      <c r="A59" s="17" t="s">
        <v>289</v>
      </c>
      <c r="B59" s="18" t="s">
        <v>262</v>
      </c>
      <c r="C59" s="19" t="s">
        <v>290</v>
      </c>
      <c r="D59" s="18" t="s">
        <v>291</v>
      </c>
      <c r="E59" s="17" t="s">
        <v>13</v>
      </c>
      <c r="F59" s="17" t="s">
        <v>68</v>
      </c>
      <c r="G59" s="18" t="s">
        <v>292</v>
      </c>
      <c r="H59" s="18" t="s">
        <v>293</v>
      </c>
      <c r="I59" s="20"/>
    </row>
    <row r="60" customFormat="false" ht="31.5" hidden="false" customHeight="true" outlineLevel="0" collapsed="false">
      <c r="A60" s="21" t="s">
        <v>294</v>
      </c>
      <c r="B60" s="22" t="s">
        <v>262</v>
      </c>
      <c r="C60" s="23" t="s">
        <v>295</v>
      </c>
      <c r="D60" s="22" t="s">
        <v>296</v>
      </c>
      <c r="E60" s="21" t="s">
        <v>13</v>
      </c>
      <c r="F60" s="21" t="s">
        <v>26</v>
      </c>
      <c r="G60" s="22" t="s">
        <v>297</v>
      </c>
      <c r="H60" s="22" t="s">
        <v>298</v>
      </c>
      <c r="I60" s="20"/>
    </row>
    <row r="61" customFormat="false" ht="31.5" hidden="false" customHeight="true" outlineLevel="0" collapsed="false">
      <c r="A61" s="17" t="s">
        <v>299</v>
      </c>
      <c r="B61" s="18" t="s">
        <v>262</v>
      </c>
      <c r="C61" s="19" t="s">
        <v>300</v>
      </c>
      <c r="D61" s="18" t="s">
        <v>301</v>
      </c>
      <c r="E61" s="17" t="s">
        <v>13</v>
      </c>
      <c r="F61" s="17" t="s">
        <v>26</v>
      </c>
      <c r="G61" s="18" t="s">
        <v>302</v>
      </c>
      <c r="H61" s="18" t="s">
        <v>110</v>
      </c>
      <c r="I61" s="20"/>
    </row>
    <row r="62" customFormat="false" ht="27.75" hidden="false" customHeight="true" outlineLevel="0" collapsed="false">
      <c r="A62" s="21" t="s">
        <v>303</v>
      </c>
      <c r="B62" s="22" t="s">
        <v>262</v>
      </c>
      <c r="C62" s="23" t="s">
        <v>304</v>
      </c>
      <c r="D62" s="22" t="s">
        <v>305</v>
      </c>
      <c r="E62" s="21" t="s">
        <v>13</v>
      </c>
      <c r="F62" s="21" t="s">
        <v>108</v>
      </c>
      <c r="G62" s="22" t="s">
        <v>306</v>
      </c>
      <c r="H62" s="22" t="s">
        <v>307</v>
      </c>
      <c r="I62" s="20"/>
    </row>
    <row r="63" customFormat="false" ht="31.5" hidden="false" customHeight="true" outlineLevel="0" collapsed="false">
      <c r="A63" s="17" t="s">
        <v>308</v>
      </c>
      <c r="B63" s="18" t="s">
        <v>309</v>
      </c>
      <c r="C63" s="19" t="s">
        <v>310</v>
      </c>
      <c r="D63" s="18" t="s">
        <v>311</v>
      </c>
      <c r="E63" s="17" t="s">
        <v>9</v>
      </c>
      <c r="F63" s="17" t="s">
        <v>26</v>
      </c>
      <c r="G63" s="18" t="s">
        <v>120</v>
      </c>
      <c r="H63" s="18" t="s">
        <v>312</v>
      </c>
      <c r="I63" s="20"/>
    </row>
    <row r="64" customFormat="false" ht="27.75" hidden="false" customHeight="true" outlineLevel="0" collapsed="false">
      <c r="A64" s="21" t="s">
        <v>313</v>
      </c>
      <c r="B64" s="22" t="s">
        <v>309</v>
      </c>
      <c r="C64" s="23" t="s">
        <v>314</v>
      </c>
      <c r="D64" s="22" t="s">
        <v>315</v>
      </c>
      <c r="E64" s="21" t="s">
        <v>9</v>
      </c>
      <c r="F64" s="21" t="s">
        <v>26</v>
      </c>
      <c r="G64" s="22" t="s">
        <v>316</v>
      </c>
      <c r="H64" s="22" t="s">
        <v>317</v>
      </c>
      <c r="I64" s="20"/>
    </row>
    <row r="65" customFormat="false" ht="27.75" hidden="false" customHeight="true" outlineLevel="0" collapsed="false">
      <c r="A65" s="17" t="s">
        <v>318</v>
      </c>
      <c r="B65" s="18" t="s">
        <v>309</v>
      </c>
      <c r="C65" s="19" t="s">
        <v>319</v>
      </c>
      <c r="D65" s="18" t="s">
        <v>320</v>
      </c>
      <c r="E65" s="17" t="s">
        <v>9</v>
      </c>
      <c r="F65" s="17" t="s">
        <v>68</v>
      </c>
      <c r="G65" s="18" t="s">
        <v>321</v>
      </c>
      <c r="H65" s="18" t="s">
        <v>322</v>
      </c>
      <c r="I65" s="20"/>
    </row>
    <row r="66" customFormat="false" ht="31.5" hidden="false" customHeight="true" outlineLevel="0" collapsed="false">
      <c r="A66" s="21" t="s">
        <v>323</v>
      </c>
      <c r="B66" s="22" t="s">
        <v>309</v>
      </c>
      <c r="C66" s="23" t="s">
        <v>324</v>
      </c>
      <c r="D66" s="22" t="s">
        <v>325</v>
      </c>
      <c r="E66" s="21" t="s">
        <v>9</v>
      </c>
      <c r="F66" s="21" t="s">
        <v>68</v>
      </c>
      <c r="G66" s="22" t="s">
        <v>120</v>
      </c>
      <c r="H66" s="22" t="s">
        <v>326</v>
      </c>
      <c r="I66" s="20"/>
    </row>
    <row r="67" customFormat="false" ht="27.75" hidden="false" customHeight="true" outlineLevel="0" collapsed="false">
      <c r="A67" s="17" t="s">
        <v>327</v>
      </c>
      <c r="B67" s="18" t="s">
        <v>309</v>
      </c>
      <c r="C67" s="19" t="s">
        <v>328</v>
      </c>
      <c r="D67" s="18" t="s">
        <v>329</v>
      </c>
      <c r="E67" s="17" t="s">
        <v>9</v>
      </c>
      <c r="F67" s="17" t="s">
        <v>108</v>
      </c>
      <c r="G67" s="18" t="s">
        <v>120</v>
      </c>
      <c r="H67" s="18" t="s">
        <v>330</v>
      </c>
      <c r="I67" s="20"/>
    </row>
    <row r="68" customFormat="false" ht="31.5" hidden="false" customHeight="true" outlineLevel="0" collapsed="false">
      <c r="A68" s="21" t="s">
        <v>331</v>
      </c>
      <c r="B68" s="22" t="s">
        <v>309</v>
      </c>
      <c r="C68" s="23" t="s">
        <v>332</v>
      </c>
      <c r="D68" s="22" t="s">
        <v>333</v>
      </c>
      <c r="E68" s="21" t="s">
        <v>9</v>
      </c>
      <c r="F68" s="21" t="s">
        <v>26</v>
      </c>
      <c r="G68" s="22" t="s">
        <v>120</v>
      </c>
      <c r="H68" s="22" t="s">
        <v>334</v>
      </c>
      <c r="I68" s="20"/>
    </row>
    <row r="69" customFormat="false" ht="27.75" hidden="false" customHeight="true" outlineLevel="0" collapsed="false">
      <c r="A69" s="17" t="s">
        <v>335</v>
      </c>
      <c r="B69" s="18" t="s">
        <v>309</v>
      </c>
      <c r="C69" s="19" t="s">
        <v>336</v>
      </c>
      <c r="D69" s="18" t="s">
        <v>337</v>
      </c>
      <c r="E69" s="17" t="s">
        <v>9</v>
      </c>
      <c r="F69" s="17" t="s">
        <v>68</v>
      </c>
      <c r="G69" s="18" t="s">
        <v>120</v>
      </c>
      <c r="H69" s="18" t="s">
        <v>338</v>
      </c>
      <c r="I69" s="20"/>
    </row>
    <row r="70" customFormat="false" ht="31.5" hidden="false" customHeight="true" outlineLevel="0" collapsed="false">
      <c r="A70" s="21" t="s">
        <v>339</v>
      </c>
      <c r="B70" s="22" t="s">
        <v>309</v>
      </c>
      <c r="C70" s="23" t="s">
        <v>340</v>
      </c>
      <c r="D70" s="22" t="s">
        <v>341</v>
      </c>
      <c r="E70" s="21" t="s">
        <v>11</v>
      </c>
      <c r="F70" s="21" t="s">
        <v>26</v>
      </c>
      <c r="G70" s="22" t="s">
        <v>342</v>
      </c>
      <c r="H70" s="22" t="s">
        <v>343</v>
      </c>
      <c r="I70" s="20"/>
    </row>
    <row r="71" customFormat="false" ht="31.5" hidden="false" customHeight="true" outlineLevel="0" collapsed="false">
      <c r="A71" s="17" t="s">
        <v>344</v>
      </c>
      <c r="B71" s="18" t="s">
        <v>309</v>
      </c>
      <c r="C71" s="19" t="s">
        <v>345</v>
      </c>
      <c r="D71" s="18" t="s">
        <v>346</v>
      </c>
      <c r="E71" s="17" t="s">
        <v>11</v>
      </c>
      <c r="F71" s="17" t="s">
        <v>68</v>
      </c>
      <c r="G71" s="18" t="s">
        <v>120</v>
      </c>
      <c r="H71" s="18" t="s">
        <v>347</v>
      </c>
      <c r="I71" s="20"/>
    </row>
    <row r="72" customFormat="false" ht="27.75" hidden="false" customHeight="true" outlineLevel="0" collapsed="false">
      <c r="A72" s="21" t="s">
        <v>348</v>
      </c>
      <c r="B72" s="22" t="s">
        <v>309</v>
      </c>
      <c r="C72" s="23" t="s">
        <v>349</v>
      </c>
      <c r="D72" s="22" t="s">
        <v>350</v>
      </c>
      <c r="E72" s="21" t="s">
        <v>9</v>
      </c>
      <c r="F72" s="21" t="s">
        <v>68</v>
      </c>
      <c r="G72" s="22" t="s">
        <v>120</v>
      </c>
      <c r="H72" s="22" t="s">
        <v>351</v>
      </c>
      <c r="I72" s="20"/>
    </row>
    <row r="73" customFormat="false" ht="31.5" hidden="false" customHeight="true" outlineLevel="0" collapsed="false">
      <c r="A73" s="17" t="s">
        <v>352</v>
      </c>
      <c r="B73" s="18" t="s">
        <v>309</v>
      </c>
      <c r="C73" s="19" t="s">
        <v>353</v>
      </c>
      <c r="D73" s="18" t="s">
        <v>354</v>
      </c>
      <c r="E73" s="17" t="s">
        <v>13</v>
      </c>
      <c r="F73" s="17" t="s">
        <v>26</v>
      </c>
      <c r="G73" s="18" t="s">
        <v>355</v>
      </c>
      <c r="H73" s="18" t="s">
        <v>356</v>
      </c>
      <c r="I73" s="20"/>
    </row>
    <row r="74" customFormat="false" ht="31.5" hidden="false" customHeight="true" outlineLevel="0" collapsed="false">
      <c r="A74" s="21" t="s">
        <v>357</v>
      </c>
      <c r="B74" s="22" t="s">
        <v>358</v>
      </c>
      <c r="C74" s="23" t="s">
        <v>359</v>
      </c>
      <c r="D74" s="22" t="s">
        <v>360</v>
      </c>
      <c r="E74" s="21" t="s">
        <v>9</v>
      </c>
      <c r="F74" s="21" t="s">
        <v>26</v>
      </c>
      <c r="G74" s="22" t="s">
        <v>361</v>
      </c>
      <c r="H74" s="22" t="s">
        <v>362</v>
      </c>
      <c r="I74" s="20"/>
    </row>
    <row r="75" customFormat="false" ht="31.5" hidden="false" customHeight="true" outlineLevel="0" collapsed="false">
      <c r="A75" s="17" t="s">
        <v>363</v>
      </c>
      <c r="B75" s="18" t="s">
        <v>358</v>
      </c>
      <c r="C75" s="19" t="s">
        <v>364</v>
      </c>
      <c r="D75" s="18" t="s">
        <v>365</v>
      </c>
      <c r="E75" s="17" t="s">
        <v>9</v>
      </c>
      <c r="F75" s="17" t="s">
        <v>26</v>
      </c>
      <c r="G75" s="18" t="s">
        <v>361</v>
      </c>
      <c r="H75" s="18" t="s">
        <v>366</v>
      </c>
      <c r="I75" s="20"/>
    </row>
    <row r="76" customFormat="false" ht="31.5" hidden="false" customHeight="true" outlineLevel="0" collapsed="false">
      <c r="A76" s="21" t="s">
        <v>367</v>
      </c>
      <c r="B76" s="22" t="s">
        <v>358</v>
      </c>
      <c r="C76" s="23" t="s">
        <v>368</v>
      </c>
      <c r="D76" s="22" t="s">
        <v>369</v>
      </c>
      <c r="E76" s="21" t="s">
        <v>13</v>
      </c>
      <c r="F76" s="21" t="s">
        <v>26</v>
      </c>
      <c r="G76" s="22" t="s">
        <v>370</v>
      </c>
      <c r="H76" s="22" t="s">
        <v>371</v>
      </c>
      <c r="I76" s="20"/>
    </row>
    <row r="77" customFormat="false" ht="27.75" hidden="false" customHeight="true" outlineLevel="0" collapsed="false">
      <c r="A77" s="17" t="s">
        <v>372</v>
      </c>
      <c r="B77" s="18" t="s">
        <v>358</v>
      </c>
      <c r="C77" s="19" t="s">
        <v>373</v>
      </c>
      <c r="D77" s="18" t="s">
        <v>374</v>
      </c>
      <c r="E77" s="17" t="s">
        <v>13</v>
      </c>
      <c r="F77" s="17" t="s">
        <v>26</v>
      </c>
      <c r="G77" s="18" t="s">
        <v>375</v>
      </c>
      <c r="H77" s="18" t="s">
        <v>376</v>
      </c>
      <c r="I77" s="20"/>
    </row>
    <row r="78" customFormat="false" ht="31.5" hidden="false" customHeight="true" outlineLevel="0" collapsed="false">
      <c r="A78" s="21" t="s">
        <v>377</v>
      </c>
      <c r="B78" s="22" t="s">
        <v>358</v>
      </c>
      <c r="C78" s="23" t="s">
        <v>378</v>
      </c>
      <c r="D78" s="22" t="s">
        <v>379</v>
      </c>
      <c r="E78" s="21" t="s">
        <v>13</v>
      </c>
      <c r="F78" s="21" t="s">
        <v>26</v>
      </c>
      <c r="G78" s="22" t="s">
        <v>380</v>
      </c>
      <c r="H78" s="22" t="s">
        <v>381</v>
      </c>
      <c r="I78" s="20"/>
    </row>
    <row r="79" customFormat="false" ht="31.5" hidden="false" customHeight="true" outlineLevel="0" collapsed="false">
      <c r="A79" s="17" t="s">
        <v>382</v>
      </c>
      <c r="B79" s="18" t="s">
        <v>358</v>
      </c>
      <c r="C79" s="19" t="s">
        <v>383</v>
      </c>
      <c r="D79" s="18" t="s">
        <v>384</v>
      </c>
      <c r="E79" s="17" t="s">
        <v>13</v>
      </c>
      <c r="F79" s="17" t="s">
        <v>26</v>
      </c>
      <c r="G79" s="18" t="s">
        <v>385</v>
      </c>
      <c r="H79" s="18" t="s">
        <v>386</v>
      </c>
      <c r="I79" s="20"/>
    </row>
    <row r="80" customFormat="false" ht="31.5" hidden="false" customHeight="true" outlineLevel="0" collapsed="false">
      <c r="A80" s="21" t="s">
        <v>387</v>
      </c>
      <c r="B80" s="22" t="s">
        <v>358</v>
      </c>
      <c r="C80" s="23" t="s">
        <v>388</v>
      </c>
      <c r="D80" s="22" t="s">
        <v>389</v>
      </c>
      <c r="E80" s="21" t="s">
        <v>13</v>
      </c>
      <c r="F80" s="21" t="s">
        <v>68</v>
      </c>
      <c r="G80" s="22" t="s">
        <v>390</v>
      </c>
      <c r="H80" s="22" t="s">
        <v>391</v>
      </c>
      <c r="I80" s="20"/>
    </row>
    <row r="81" customFormat="false" ht="27.75" hidden="false" customHeight="true" outlineLevel="0" collapsed="false">
      <c r="A81" s="17" t="s">
        <v>392</v>
      </c>
      <c r="B81" s="18" t="s">
        <v>358</v>
      </c>
      <c r="C81" s="19" t="s">
        <v>393</v>
      </c>
      <c r="D81" s="18" t="s">
        <v>394</v>
      </c>
      <c r="E81" s="17" t="s">
        <v>13</v>
      </c>
      <c r="F81" s="17" t="s">
        <v>108</v>
      </c>
      <c r="G81" s="18" t="s">
        <v>395</v>
      </c>
      <c r="H81" s="18" t="s">
        <v>110</v>
      </c>
      <c r="I81" s="20"/>
    </row>
    <row r="82" customFormat="false" ht="31.5" hidden="false" customHeight="true" outlineLevel="0" collapsed="false">
      <c r="A82" s="21" t="s">
        <v>396</v>
      </c>
      <c r="B82" s="22" t="s">
        <v>358</v>
      </c>
      <c r="C82" s="23" t="s">
        <v>397</v>
      </c>
      <c r="D82" s="22" t="s">
        <v>398</v>
      </c>
      <c r="E82" s="21" t="s">
        <v>13</v>
      </c>
      <c r="F82" s="21" t="s">
        <v>26</v>
      </c>
      <c r="G82" s="22" t="s">
        <v>399</v>
      </c>
      <c r="H82" s="22" t="s">
        <v>400</v>
      </c>
      <c r="I82" s="20"/>
    </row>
    <row r="83" customFormat="false" ht="31.5" hidden="false" customHeight="true" outlineLevel="0" collapsed="false">
      <c r="A83" s="17" t="s">
        <v>401</v>
      </c>
      <c r="B83" s="18" t="s">
        <v>402</v>
      </c>
      <c r="C83" s="19" t="s">
        <v>403</v>
      </c>
      <c r="D83" s="18" t="s">
        <v>404</v>
      </c>
      <c r="E83" s="17" t="s">
        <v>9</v>
      </c>
      <c r="F83" s="17" t="s">
        <v>26</v>
      </c>
      <c r="G83" s="18" t="s">
        <v>120</v>
      </c>
      <c r="H83" s="18" t="s">
        <v>405</v>
      </c>
      <c r="I83" s="20"/>
    </row>
    <row r="84" customFormat="false" ht="27.75" hidden="false" customHeight="true" outlineLevel="0" collapsed="false">
      <c r="A84" s="21" t="s">
        <v>406</v>
      </c>
      <c r="B84" s="22" t="s">
        <v>402</v>
      </c>
      <c r="C84" s="23" t="s">
        <v>407</v>
      </c>
      <c r="D84" s="22" t="s">
        <v>408</v>
      </c>
      <c r="E84" s="21" t="s">
        <v>9</v>
      </c>
      <c r="F84" s="21" t="s">
        <v>68</v>
      </c>
      <c r="G84" s="22" t="s">
        <v>120</v>
      </c>
      <c r="H84" s="22" t="s">
        <v>409</v>
      </c>
      <c r="I84" s="20"/>
    </row>
    <row r="85" customFormat="false" ht="31.5" hidden="false" customHeight="true" outlineLevel="0" collapsed="false">
      <c r="A85" s="17" t="s">
        <v>410</v>
      </c>
      <c r="B85" s="18" t="s">
        <v>402</v>
      </c>
      <c r="C85" s="19" t="s">
        <v>411</v>
      </c>
      <c r="D85" s="18" t="s">
        <v>412</v>
      </c>
      <c r="E85" s="17" t="s">
        <v>9</v>
      </c>
      <c r="F85" s="17" t="s">
        <v>108</v>
      </c>
      <c r="G85" s="18" t="s">
        <v>120</v>
      </c>
      <c r="H85" s="18" t="s">
        <v>413</v>
      </c>
      <c r="I85" s="20"/>
    </row>
    <row r="86" customFormat="false" ht="31.5" hidden="false" customHeight="true" outlineLevel="0" collapsed="false">
      <c r="A86" s="21" t="s">
        <v>414</v>
      </c>
      <c r="B86" s="22" t="s">
        <v>402</v>
      </c>
      <c r="C86" s="23" t="s">
        <v>415</v>
      </c>
      <c r="D86" s="22" t="s">
        <v>416</v>
      </c>
      <c r="E86" s="21" t="s">
        <v>11</v>
      </c>
      <c r="F86" s="21" t="s">
        <v>26</v>
      </c>
      <c r="G86" s="22" t="s">
        <v>120</v>
      </c>
      <c r="H86" s="22" t="s">
        <v>417</v>
      </c>
      <c r="I86" s="20"/>
    </row>
    <row r="87" customFormat="false" ht="27.75" hidden="false" customHeight="true" outlineLevel="0" collapsed="false">
      <c r="A87" s="17" t="s">
        <v>418</v>
      </c>
      <c r="B87" s="18" t="s">
        <v>402</v>
      </c>
      <c r="C87" s="19" t="s">
        <v>419</v>
      </c>
      <c r="D87" s="18" t="s">
        <v>420</v>
      </c>
      <c r="E87" s="17" t="s">
        <v>9</v>
      </c>
      <c r="F87" s="17" t="s">
        <v>68</v>
      </c>
      <c r="G87" s="18" t="s">
        <v>120</v>
      </c>
      <c r="H87" s="18" t="s">
        <v>421</v>
      </c>
      <c r="I87" s="20"/>
    </row>
    <row r="88" customFormat="false" ht="31.5" hidden="false" customHeight="true" outlineLevel="0" collapsed="false">
      <c r="A88" s="21" t="s">
        <v>422</v>
      </c>
      <c r="B88" s="22" t="s">
        <v>402</v>
      </c>
      <c r="C88" s="23" t="s">
        <v>423</v>
      </c>
      <c r="D88" s="22" t="s">
        <v>424</v>
      </c>
      <c r="E88" s="21" t="s">
        <v>9</v>
      </c>
      <c r="F88" s="21" t="s">
        <v>68</v>
      </c>
      <c r="G88" s="22" t="s">
        <v>120</v>
      </c>
      <c r="H88" s="22" t="s">
        <v>425</v>
      </c>
      <c r="I88" s="20"/>
    </row>
    <row r="89" customFormat="false" ht="27.75" hidden="false" customHeight="true" outlineLevel="0" collapsed="false">
      <c r="A89" s="17" t="s">
        <v>426</v>
      </c>
      <c r="B89" s="18" t="s">
        <v>402</v>
      </c>
      <c r="C89" s="19" t="s">
        <v>427</v>
      </c>
      <c r="D89" s="18" t="s">
        <v>428</v>
      </c>
      <c r="E89" s="17" t="s">
        <v>13</v>
      </c>
      <c r="F89" s="17" t="s">
        <v>68</v>
      </c>
      <c r="G89" s="18" t="s">
        <v>120</v>
      </c>
      <c r="H89" s="18" t="s">
        <v>110</v>
      </c>
      <c r="I89" s="20"/>
    </row>
    <row r="90" customFormat="false" ht="31.5" hidden="false" customHeight="true" outlineLevel="0" collapsed="false">
      <c r="A90" s="21" t="s">
        <v>429</v>
      </c>
      <c r="B90" s="22" t="s">
        <v>402</v>
      </c>
      <c r="C90" s="23" t="s">
        <v>430</v>
      </c>
      <c r="D90" s="22" t="s">
        <v>431</v>
      </c>
      <c r="E90" s="21" t="s">
        <v>13</v>
      </c>
      <c r="F90" s="21" t="s">
        <v>108</v>
      </c>
      <c r="G90" s="22" t="s">
        <v>120</v>
      </c>
      <c r="H90" s="22" t="s">
        <v>110</v>
      </c>
      <c r="I90" s="20"/>
    </row>
    <row r="91" customFormat="false" ht="27.75" hidden="false" customHeight="true" outlineLevel="0" collapsed="false">
      <c r="A91" s="17" t="s">
        <v>432</v>
      </c>
      <c r="B91" s="18" t="s">
        <v>402</v>
      </c>
      <c r="C91" s="19" t="s">
        <v>433</v>
      </c>
      <c r="D91" s="18" t="s">
        <v>434</v>
      </c>
      <c r="E91" s="17" t="s">
        <v>13</v>
      </c>
      <c r="F91" s="17" t="s">
        <v>108</v>
      </c>
      <c r="G91" s="18" t="s">
        <v>435</v>
      </c>
      <c r="H91" s="18" t="s">
        <v>110</v>
      </c>
      <c r="I91" s="20"/>
    </row>
    <row r="92" customFormat="false" ht="31.5" hidden="false" customHeight="true" outlineLevel="0" collapsed="false">
      <c r="A92" s="21" t="s">
        <v>436</v>
      </c>
      <c r="B92" s="22" t="s">
        <v>437</v>
      </c>
      <c r="C92" s="23" t="s">
        <v>438</v>
      </c>
      <c r="D92" s="22" t="s">
        <v>439</v>
      </c>
      <c r="E92" s="21" t="s">
        <v>9</v>
      </c>
      <c r="F92" s="21" t="s">
        <v>26</v>
      </c>
      <c r="G92" s="22" t="s">
        <v>120</v>
      </c>
      <c r="H92" s="22" t="s">
        <v>440</v>
      </c>
      <c r="I92" s="20"/>
    </row>
    <row r="93" customFormat="false" ht="31.5" hidden="false" customHeight="true" outlineLevel="0" collapsed="false">
      <c r="A93" s="17" t="s">
        <v>441</v>
      </c>
      <c r="B93" s="18" t="s">
        <v>437</v>
      </c>
      <c r="C93" s="19" t="s">
        <v>442</v>
      </c>
      <c r="D93" s="18" t="s">
        <v>443</v>
      </c>
      <c r="E93" s="17" t="s">
        <v>9</v>
      </c>
      <c r="F93" s="17" t="s">
        <v>26</v>
      </c>
      <c r="G93" s="18" t="s">
        <v>120</v>
      </c>
      <c r="H93" s="18" t="s">
        <v>444</v>
      </c>
      <c r="I93" s="20"/>
    </row>
    <row r="94" customFormat="false" ht="31.5" hidden="false" customHeight="true" outlineLevel="0" collapsed="false">
      <c r="A94" s="21" t="s">
        <v>445</v>
      </c>
      <c r="B94" s="22" t="s">
        <v>437</v>
      </c>
      <c r="C94" s="23" t="s">
        <v>446</v>
      </c>
      <c r="D94" s="22" t="s">
        <v>447</v>
      </c>
      <c r="E94" s="21" t="s">
        <v>13</v>
      </c>
      <c r="F94" s="21" t="s">
        <v>26</v>
      </c>
      <c r="G94" s="22" t="s">
        <v>448</v>
      </c>
      <c r="H94" s="22" t="s">
        <v>449</v>
      </c>
      <c r="I94" s="20"/>
    </row>
    <row r="95" customFormat="false" ht="27.75" hidden="false" customHeight="true" outlineLevel="0" collapsed="false">
      <c r="A95" s="17" t="s">
        <v>450</v>
      </c>
      <c r="B95" s="18" t="s">
        <v>437</v>
      </c>
      <c r="C95" s="19" t="s">
        <v>451</v>
      </c>
      <c r="D95" s="18" t="s">
        <v>452</v>
      </c>
      <c r="E95" s="17" t="s">
        <v>13</v>
      </c>
      <c r="F95" s="17" t="s">
        <v>26</v>
      </c>
      <c r="G95" s="18" t="s">
        <v>453</v>
      </c>
      <c r="H95" s="18" t="s">
        <v>454</v>
      </c>
      <c r="I95" s="20"/>
    </row>
    <row r="96" customFormat="false" ht="31.5" hidden="false" customHeight="true" outlineLevel="0" collapsed="false">
      <c r="A96" s="21" t="s">
        <v>455</v>
      </c>
      <c r="B96" s="22" t="s">
        <v>437</v>
      </c>
      <c r="C96" s="23" t="s">
        <v>456</v>
      </c>
      <c r="D96" s="22" t="s">
        <v>457</v>
      </c>
      <c r="E96" s="21" t="s">
        <v>13</v>
      </c>
      <c r="F96" s="21" t="s">
        <v>68</v>
      </c>
      <c r="G96" s="22" t="s">
        <v>120</v>
      </c>
      <c r="H96" s="22" t="s">
        <v>110</v>
      </c>
      <c r="I96" s="20"/>
    </row>
    <row r="97" customFormat="false" ht="31.5" hidden="false" customHeight="true" outlineLevel="0" collapsed="false">
      <c r="A97" s="17" t="s">
        <v>458</v>
      </c>
      <c r="B97" s="18" t="s">
        <v>437</v>
      </c>
      <c r="C97" s="19" t="s">
        <v>459</v>
      </c>
      <c r="D97" s="18" t="s">
        <v>460</v>
      </c>
      <c r="E97" s="17" t="s">
        <v>13</v>
      </c>
      <c r="F97" s="17" t="s">
        <v>26</v>
      </c>
      <c r="G97" s="18" t="s">
        <v>461</v>
      </c>
      <c r="H97" s="18" t="s">
        <v>462</v>
      </c>
      <c r="I97" s="20"/>
    </row>
    <row r="98" customFormat="false" ht="31.5" hidden="false" customHeight="true" outlineLevel="0" collapsed="false">
      <c r="A98" s="21" t="s">
        <v>463</v>
      </c>
      <c r="B98" s="22" t="s">
        <v>437</v>
      </c>
      <c r="C98" s="23" t="s">
        <v>464</v>
      </c>
      <c r="D98" s="22" t="s">
        <v>465</v>
      </c>
      <c r="E98" s="21" t="s">
        <v>13</v>
      </c>
      <c r="F98" s="21" t="s">
        <v>26</v>
      </c>
      <c r="G98" s="22" t="s">
        <v>466</v>
      </c>
      <c r="H98" s="22" t="s">
        <v>467</v>
      </c>
      <c r="I98" s="20"/>
    </row>
    <row r="99" customFormat="false" ht="31.5" hidden="false" customHeight="true" outlineLevel="0" collapsed="false">
      <c r="A99" s="17" t="s">
        <v>468</v>
      </c>
      <c r="B99" s="18" t="s">
        <v>437</v>
      </c>
      <c r="C99" s="19" t="s">
        <v>469</v>
      </c>
      <c r="D99" s="18" t="s">
        <v>470</v>
      </c>
      <c r="E99" s="17" t="s">
        <v>13</v>
      </c>
      <c r="F99" s="17" t="s">
        <v>68</v>
      </c>
      <c r="G99" s="18" t="s">
        <v>471</v>
      </c>
      <c r="H99" s="18" t="s">
        <v>472</v>
      </c>
      <c r="I99" s="20"/>
    </row>
  </sheetData>
  <autoFilter ref="A4:I99"/>
  <mergeCells count="2">
    <mergeCell ref="A1:I1"/>
    <mergeCell ref="A2:I2"/>
  </mergeCells>
  <conditionalFormatting sqref="E5:E99">
    <cfRule type="cellIs" priority="2" operator="equal" aboveAverage="0" equalAverage="0" bottom="0" percent="0" rank="0" text="" dxfId="12">
      <formula>"Have"</formula>
    </cfRule>
    <cfRule type="cellIs" priority="3" operator="equal" aboveAverage="0" equalAverage="0" bottom="0" percent="0" rank="0" text="" dxfId="13">
      <formula>"Partial"</formula>
    </cfRule>
    <cfRule type="cellIs" priority="4" operator="equal" aboveAverage="0" equalAverage="0" bottom="0" percent="0" rank="0" text="" dxfId="14">
      <formula>"Not yet"</formula>
    </cfRule>
    <cfRule type="cellIs" priority="5" operator="equal" aboveAverage="0" equalAverage="0" bottom="0" percent="0" rank="0" text="" dxfId="15">
      <formula>"Not planned"</formula>
    </cfRule>
  </conditionalFormatting>
  <conditionalFormatting sqref="F5:F99">
    <cfRule type="cellIs" priority="6" operator="equal" aboveAverage="0" equalAverage="0" bottom="0" percent="0" rank="0" text="" dxfId="16">
      <formula>"Must"</formula>
    </cfRule>
  </conditionalFormatting>
  <dataValidations count="2">
    <dataValidation allowBlank="false" error="Use Have, Partial, Not yet or Not planned." errorStyle="stop" errorTitle="Pick one of the four" operator="between" prompt="Do we have this feature today?" promptTitle="Status" showDropDown="false" showErrorMessage="true" showInputMessage="false" sqref="E5:E99" type="list">
      <formula1>"Have,Partial,Not yet,Not planned"</formula1>
      <formula2>0</formula2>
    </dataValidation>
    <dataValidation allowBlank="true" error="Use Must, Should, Could or Later." errorStyle="stop" errorTitle="Pick one of the four" operator="between" showDropDown="false" showErrorMessage="true" showInputMessage="false" sqref="F5:F99" type="list">
      <formula1>"Must,Should,Could,Later"</formula1>
      <formula2>0</formula2>
    </dataValidation>
  </dataValidation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565A"/>
    <pageSetUpPr fitToPage="tru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5" min="2" style="1" width="13"/>
    <col collapsed="false" customWidth="true" hidden="false" outlineLevel="0" max="6" min="6" style="1" width="10"/>
    <col collapsed="false" customWidth="true" hidden="false" outlineLevel="0" max="7" min="7" style="1" width="16"/>
  </cols>
  <sheetData>
    <row r="1" customFormat="false" ht="30" hidden="false" customHeight="true" outlineLevel="0" collapsed="false">
      <c r="A1" s="2" t="s">
        <v>473</v>
      </c>
      <c r="B1" s="2"/>
      <c r="C1" s="2"/>
      <c r="D1" s="2"/>
      <c r="E1" s="2"/>
      <c r="F1" s="2"/>
      <c r="G1" s="2"/>
    </row>
    <row r="2" customFormat="false" ht="18" hidden="false" customHeight="true" outlineLevel="0" collapsed="false">
      <c r="A2" s="3" t="s">
        <v>474</v>
      </c>
      <c r="B2" s="3"/>
      <c r="C2" s="3"/>
      <c r="D2" s="3"/>
      <c r="E2" s="3"/>
      <c r="F2" s="3"/>
      <c r="G2" s="3"/>
    </row>
    <row r="4" customFormat="false" ht="21.75" hidden="false" customHeight="true" outlineLevel="0" collapsed="false">
      <c r="A4" s="6" t="s">
        <v>7</v>
      </c>
      <c r="B4" s="16" t="s">
        <v>475</v>
      </c>
      <c r="C4" s="16" t="s">
        <v>476</v>
      </c>
    </row>
    <row r="5" customFormat="false" ht="15" hidden="false" customHeight="true" outlineLevel="0" collapsed="false">
      <c r="A5" s="24" t="s">
        <v>9</v>
      </c>
      <c r="B5" s="25" t="n">
        <f aca="false">COUNTIF('Feature inventory'!$E$5:$E$99,A5)</f>
        <v>49</v>
      </c>
      <c r="C5" s="26" t="n">
        <f aca="false">IF($B$9=0,0,B5/$B$9)</f>
        <v>0.515789473684211</v>
      </c>
    </row>
    <row r="6" customFormat="false" ht="15" hidden="false" customHeight="true" outlineLevel="0" collapsed="false">
      <c r="A6" s="27" t="s">
        <v>11</v>
      </c>
      <c r="B6" s="25" t="n">
        <f aca="false">COUNTIF('Feature inventory'!$E$5:$E$99,A6)</f>
        <v>3</v>
      </c>
      <c r="C6" s="26" t="n">
        <f aca="false">IF($B$9=0,0,B6/$B$9)</f>
        <v>0.0315789473684211</v>
      </c>
    </row>
    <row r="7" customFormat="false" ht="15" hidden="false" customHeight="true" outlineLevel="0" collapsed="false">
      <c r="A7" s="28" t="s">
        <v>13</v>
      </c>
      <c r="B7" s="25" t="n">
        <f aca="false">COUNTIF('Feature inventory'!$E$5:$E$99,A7)</f>
        <v>43</v>
      </c>
      <c r="C7" s="26" t="n">
        <f aca="false">IF($B$9=0,0,B7/$B$9)</f>
        <v>0.452631578947368</v>
      </c>
    </row>
    <row r="8" customFormat="false" ht="15" hidden="false" customHeight="true" outlineLevel="0" collapsed="false">
      <c r="A8" s="29" t="s">
        <v>15</v>
      </c>
      <c r="B8" s="25" t="n">
        <f aca="false">COUNTIF('Feature inventory'!$E$5:$E$99,A8)</f>
        <v>0</v>
      </c>
      <c r="C8" s="26" t="n">
        <f aca="false">IF($B$9=0,0,B8/$B$9)</f>
        <v>0</v>
      </c>
    </row>
    <row r="9" customFormat="false" ht="15" hidden="false" customHeight="true" outlineLevel="0" collapsed="false">
      <c r="A9" s="30" t="s">
        <v>477</v>
      </c>
      <c r="B9" s="31" t="n">
        <f aca="false">COUNTA('Feature inventory'!$A$5:$A$99)</f>
        <v>95</v>
      </c>
      <c r="C9" s="32"/>
    </row>
    <row r="11" customFormat="false" ht="15" hidden="false" customHeight="true" outlineLevel="0" collapsed="false">
      <c r="A11" s="4" t="s">
        <v>478</v>
      </c>
    </row>
    <row r="12" customFormat="false" ht="21.75" hidden="false" customHeight="true" outlineLevel="0" collapsed="false">
      <c r="A12" s="6" t="s">
        <v>19</v>
      </c>
      <c r="B12" s="16" t="s">
        <v>9</v>
      </c>
      <c r="C12" s="16" t="s">
        <v>11</v>
      </c>
      <c r="D12" s="16" t="s">
        <v>13</v>
      </c>
      <c r="E12" s="16" t="s">
        <v>15</v>
      </c>
      <c r="F12" s="16" t="s">
        <v>479</v>
      </c>
      <c r="G12" s="16" t="s">
        <v>480</v>
      </c>
    </row>
    <row r="13" customFormat="false" ht="15" hidden="false" customHeight="true" outlineLevel="0" collapsed="false">
      <c r="A13" s="33" t="s">
        <v>41</v>
      </c>
      <c r="B13" s="25" t="n">
        <f aca="false">COUNTIFS('Feature inventory'!$B$5:$B$99,$A13,'Feature inventory'!$E$5:$E$99,B$12)</f>
        <v>8</v>
      </c>
      <c r="C13" s="25" t="n">
        <f aca="false">COUNTIFS('Feature inventory'!$B$5:$B$99,$A13,'Feature inventory'!$E$5:$E$99,C$12)</f>
        <v>0</v>
      </c>
      <c r="D13" s="25" t="n">
        <f aca="false">COUNTIFS('Feature inventory'!$B$5:$B$99,$A13,'Feature inventory'!$E$5:$E$99,D$12)</f>
        <v>6</v>
      </c>
      <c r="E13" s="25" t="n">
        <f aca="false">COUNTIFS('Feature inventory'!$B$5:$B$99,$A13,'Feature inventory'!$E$5:$E$99,E$12)</f>
        <v>0</v>
      </c>
      <c r="F13" s="34" t="n">
        <f aca="false">SUM(B13:E13)</f>
        <v>14</v>
      </c>
      <c r="G13" s="35" t="n">
        <f aca="false">IF($F13=0,0,B13/$F13)</f>
        <v>0.571428571428571</v>
      </c>
    </row>
    <row r="14" customFormat="false" ht="15" hidden="false" customHeight="true" outlineLevel="0" collapsed="false">
      <c r="A14" s="33" t="s">
        <v>112</v>
      </c>
      <c r="B14" s="25" t="n">
        <f aca="false">COUNTIFS('Feature inventory'!$B$5:$B$99,$A14,'Feature inventory'!$E$5:$E$99,B$12)</f>
        <v>5</v>
      </c>
      <c r="C14" s="25" t="n">
        <f aca="false">COUNTIFS('Feature inventory'!$B$5:$B$99,$A14,'Feature inventory'!$E$5:$E$99,C$12)</f>
        <v>0</v>
      </c>
      <c r="D14" s="25" t="n">
        <f aca="false">COUNTIFS('Feature inventory'!$B$5:$B$99,$A14,'Feature inventory'!$E$5:$E$99,D$12)</f>
        <v>3</v>
      </c>
      <c r="E14" s="25" t="n">
        <f aca="false">COUNTIFS('Feature inventory'!$B$5:$B$99,$A14,'Feature inventory'!$E$5:$E$99,E$12)</f>
        <v>0</v>
      </c>
      <c r="F14" s="34" t="n">
        <f aca="false">SUM(B14:E14)</f>
        <v>8</v>
      </c>
      <c r="G14" s="35" t="n">
        <f aca="false">IF($F14=0,0,B14/$F14)</f>
        <v>0.625</v>
      </c>
    </row>
    <row r="15" customFormat="false" ht="15" hidden="false" customHeight="true" outlineLevel="0" collapsed="false">
      <c r="A15" s="33" t="s">
        <v>24</v>
      </c>
      <c r="B15" s="25" t="n">
        <f aca="false">COUNTIFS('Feature inventory'!$B$5:$B$99,$A15,'Feature inventory'!$E$5:$E$99,B$12)</f>
        <v>9</v>
      </c>
      <c r="C15" s="25" t="n">
        <f aca="false">COUNTIFS('Feature inventory'!$B$5:$B$99,$A15,'Feature inventory'!$E$5:$E$99,C$12)</f>
        <v>0</v>
      </c>
      <c r="D15" s="25" t="n">
        <f aca="false">COUNTIFS('Feature inventory'!$B$5:$B$99,$A15,'Feature inventory'!$E$5:$E$99,D$12)</f>
        <v>7</v>
      </c>
      <c r="E15" s="25" t="n">
        <f aca="false">COUNTIFS('Feature inventory'!$B$5:$B$99,$A15,'Feature inventory'!$E$5:$E$99,E$12)</f>
        <v>0</v>
      </c>
      <c r="F15" s="34" t="n">
        <f aca="false">SUM(B15:E15)</f>
        <v>16</v>
      </c>
      <c r="G15" s="35" t="n">
        <f aca="false">IF($F15=0,0,B15/$F15)</f>
        <v>0.5625</v>
      </c>
    </row>
    <row r="16" customFormat="false" ht="15" hidden="false" customHeight="true" outlineLevel="0" collapsed="false">
      <c r="A16" s="33" t="s">
        <v>220</v>
      </c>
      <c r="B16" s="25" t="n">
        <f aca="false">COUNTIFS('Feature inventory'!$B$5:$B$99,$A16,'Feature inventory'!$E$5:$E$99,B$12)</f>
        <v>4</v>
      </c>
      <c r="C16" s="25" t="n">
        <f aca="false">COUNTIFS('Feature inventory'!$B$5:$B$99,$A16,'Feature inventory'!$E$5:$E$99,C$12)</f>
        <v>0</v>
      </c>
      <c r="D16" s="25" t="n">
        <f aca="false">COUNTIFS('Feature inventory'!$B$5:$B$99,$A16,'Feature inventory'!$E$5:$E$99,D$12)</f>
        <v>6</v>
      </c>
      <c r="E16" s="25" t="n">
        <f aca="false">COUNTIFS('Feature inventory'!$B$5:$B$99,$A16,'Feature inventory'!$E$5:$E$99,E$12)</f>
        <v>0</v>
      </c>
      <c r="F16" s="34" t="n">
        <f aca="false">SUM(B16:E16)</f>
        <v>10</v>
      </c>
      <c r="G16" s="35" t="n">
        <f aca="false">IF($F16=0,0,B16/$F16)</f>
        <v>0.4</v>
      </c>
    </row>
    <row r="17" customFormat="false" ht="15" hidden="false" customHeight="true" outlineLevel="0" collapsed="false">
      <c r="A17" s="33" t="s">
        <v>262</v>
      </c>
      <c r="B17" s="25" t="n">
        <f aca="false">COUNTIFS('Feature inventory'!$B$5:$B$99,$A17,'Feature inventory'!$E$5:$E$99,B$12)</f>
        <v>6</v>
      </c>
      <c r="C17" s="25" t="n">
        <f aca="false">COUNTIFS('Feature inventory'!$B$5:$B$99,$A17,'Feature inventory'!$E$5:$E$99,C$12)</f>
        <v>0</v>
      </c>
      <c r="D17" s="25" t="n">
        <f aca="false">COUNTIFS('Feature inventory'!$B$5:$B$99,$A17,'Feature inventory'!$E$5:$E$99,D$12)</f>
        <v>4</v>
      </c>
      <c r="E17" s="25" t="n">
        <f aca="false">COUNTIFS('Feature inventory'!$B$5:$B$99,$A17,'Feature inventory'!$E$5:$E$99,E$12)</f>
        <v>0</v>
      </c>
      <c r="F17" s="34" t="n">
        <f aca="false">SUM(B17:E17)</f>
        <v>10</v>
      </c>
      <c r="G17" s="35" t="n">
        <f aca="false">IF($F17=0,0,B17/$F17)</f>
        <v>0.6</v>
      </c>
    </row>
    <row r="18" customFormat="false" ht="15" hidden="false" customHeight="true" outlineLevel="0" collapsed="false">
      <c r="A18" s="33" t="s">
        <v>309</v>
      </c>
      <c r="B18" s="25" t="n">
        <f aca="false">COUNTIFS('Feature inventory'!$B$5:$B$99,$A18,'Feature inventory'!$E$5:$E$99,B$12)</f>
        <v>8</v>
      </c>
      <c r="C18" s="25" t="n">
        <f aca="false">COUNTIFS('Feature inventory'!$B$5:$B$99,$A18,'Feature inventory'!$E$5:$E$99,C$12)</f>
        <v>2</v>
      </c>
      <c r="D18" s="25" t="n">
        <f aca="false">COUNTIFS('Feature inventory'!$B$5:$B$99,$A18,'Feature inventory'!$E$5:$E$99,D$12)</f>
        <v>1</v>
      </c>
      <c r="E18" s="25" t="n">
        <f aca="false">COUNTIFS('Feature inventory'!$B$5:$B$99,$A18,'Feature inventory'!$E$5:$E$99,E$12)</f>
        <v>0</v>
      </c>
      <c r="F18" s="34" t="n">
        <f aca="false">SUM(B18:E18)</f>
        <v>11</v>
      </c>
      <c r="G18" s="35" t="n">
        <f aca="false">IF($F18=0,0,B18/$F18)</f>
        <v>0.727272727272727</v>
      </c>
    </row>
    <row r="19" customFormat="false" ht="15" hidden="false" customHeight="true" outlineLevel="0" collapsed="false">
      <c r="A19" s="33" t="s">
        <v>358</v>
      </c>
      <c r="B19" s="25" t="n">
        <f aca="false">COUNTIFS('Feature inventory'!$B$5:$B$99,$A19,'Feature inventory'!$E$5:$E$99,B$12)</f>
        <v>2</v>
      </c>
      <c r="C19" s="25" t="n">
        <f aca="false">COUNTIFS('Feature inventory'!$B$5:$B$99,$A19,'Feature inventory'!$E$5:$E$99,C$12)</f>
        <v>0</v>
      </c>
      <c r="D19" s="25" t="n">
        <f aca="false">COUNTIFS('Feature inventory'!$B$5:$B$99,$A19,'Feature inventory'!$E$5:$E$99,D$12)</f>
        <v>7</v>
      </c>
      <c r="E19" s="25" t="n">
        <f aca="false">COUNTIFS('Feature inventory'!$B$5:$B$99,$A19,'Feature inventory'!$E$5:$E$99,E$12)</f>
        <v>0</v>
      </c>
      <c r="F19" s="34" t="n">
        <f aca="false">SUM(B19:E19)</f>
        <v>9</v>
      </c>
      <c r="G19" s="35" t="n">
        <f aca="false">IF($F19=0,0,B19/$F19)</f>
        <v>0.222222222222222</v>
      </c>
    </row>
    <row r="20" customFormat="false" ht="15" hidden="false" customHeight="true" outlineLevel="0" collapsed="false">
      <c r="A20" s="33" t="s">
        <v>402</v>
      </c>
      <c r="B20" s="25" t="n">
        <f aca="false">COUNTIFS('Feature inventory'!$B$5:$B$99,$A20,'Feature inventory'!$E$5:$E$99,B$12)</f>
        <v>5</v>
      </c>
      <c r="C20" s="25" t="n">
        <f aca="false">COUNTIFS('Feature inventory'!$B$5:$B$99,$A20,'Feature inventory'!$E$5:$E$99,C$12)</f>
        <v>1</v>
      </c>
      <c r="D20" s="25" t="n">
        <f aca="false">COUNTIFS('Feature inventory'!$B$5:$B$99,$A20,'Feature inventory'!$E$5:$E$99,D$12)</f>
        <v>3</v>
      </c>
      <c r="E20" s="25" t="n">
        <f aca="false">COUNTIFS('Feature inventory'!$B$5:$B$99,$A20,'Feature inventory'!$E$5:$E$99,E$12)</f>
        <v>0</v>
      </c>
      <c r="F20" s="34" t="n">
        <f aca="false">SUM(B20:E20)</f>
        <v>9</v>
      </c>
      <c r="G20" s="35" t="n">
        <f aca="false">IF($F20=0,0,B20/$F20)</f>
        <v>0.555555555555556</v>
      </c>
    </row>
    <row r="21" customFormat="false" ht="15" hidden="false" customHeight="true" outlineLevel="0" collapsed="false">
      <c r="A21" s="33" t="s">
        <v>437</v>
      </c>
      <c r="B21" s="25" t="n">
        <f aca="false">COUNTIFS('Feature inventory'!$B$5:$B$99,$A21,'Feature inventory'!$E$5:$E$99,B$12)</f>
        <v>2</v>
      </c>
      <c r="C21" s="25" t="n">
        <f aca="false">COUNTIFS('Feature inventory'!$B$5:$B$99,$A21,'Feature inventory'!$E$5:$E$99,C$12)</f>
        <v>0</v>
      </c>
      <c r="D21" s="25" t="n">
        <f aca="false">COUNTIFS('Feature inventory'!$B$5:$B$99,$A21,'Feature inventory'!$E$5:$E$99,D$12)</f>
        <v>6</v>
      </c>
      <c r="E21" s="25" t="n">
        <f aca="false">COUNTIFS('Feature inventory'!$B$5:$B$99,$A21,'Feature inventory'!$E$5:$E$99,E$12)</f>
        <v>0</v>
      </c>
      <c r="F21" s="34" t="n">
        <f aca="false">SUM(B21:E21)</f>
        <v>8</v>
      </c>
      <c r="G21" s="35" t="n">
        <f aca="false">IF($F21=0,0,B21/$F21)</f>
        <v>0.25</v>
      </c>
    </row>
    <row r="23" customFormat="false" ht="15" hidden="false" customHeight="true" outlineLevel="0" collapsed="false">
      <c r="A23" s="4" t="s">
        <v>481</v>
      </c>
    </row>
    <row r="24" customFormat="false" ht="21.75" hidden="false" customHeight="true" outlineLevel="0" collapsed="false">
      <c r="A24" s="6" t="s">
        <v>21</v>
      </c>
      <c r="B24" s="16" t="s">
        <v>13</v>
      </c>
      <c r="C24" s="16" t="s">
        <v>11</v>
      </c>
      <c r="D24" s="16" t="s">
        <v>482</v>
      </c>
    </row>
    <row r="25" customFormat="false" ht="15" hidden="false" customHeight="true" outlineLevel="0" collapsed="false">
      <c r="A25" s="36" t="s">
        <v>26</v>
      </c>
      <c r="B25" s="25" t="n">
        <f aca="false">COUNTIFS('Feature inventory'!$F$5:$F$99,$A25,'Feature inventory'!$E$5:$E$99,"Not yet")</f>
        <v>23</v>
      </c>
      <c r="C25" s="25" t="n">
        <f aca="false">COUNTIFS('Feature inventory'!$F$5:$F$99,$A25,'Feature inventory'!$E$5:$E$99,"Partial")</f>
        <v>2</v>
      </c>
      <c r="D25" s="34" t="n">
        <f aca="false">B25+C25</f>
        <v>25</v>
      </c>
    </row>
    <row r="26" customFormat="false" ht="15" hidden="false" customHeight="true" outlineLevel="0" collapsed="false">
      <c r="A26" s="37" t="s">
        <v>68</v>
      </c>
      <c r="B26" s="25" t="n">
        <f aca="false">COUNTIFS('Feature inventory'!$F$5:$F$99,$A26,'Feature inventory'!$E$5:$E$99,"Not yet")</f>
        <v>13</v>
      </c>
      <c r="C26" s="25" t="n">
        <f aca="false">COUNTIFS('Feature inventory'!$F$5:$F$99,$A26,'Feature inventory'!$E$5:$E$99,"Partial")</f>
        <v>1</v>
      </c>
      <c r="D26" s="34" t="n">
        <f aca="false">B26+C26</f>
        <v>14</v>
      </c>
    </row>
    <row r="27" customFormat="false" ht="15" hidden="false" customHeight="true" outlineLevel="0" collapsed="false">
      <c r="A27" s="37" t="s">
        <v>108</v>
      </c>
      <c r="B27" s="25" t="n">
        <f aca="false">COUNTIFS('Feature inventory'!$F$5:$F$99,$A27,'Feature inventory'!$E$5:$E$99,"Not yet")</f>
        <v>7</v>
      </c>
      <c r="C27" s="25" t="n">
        <f aca="false">COUNTIFS('Feature inventory'!$F$5:$F$99,$A27,'Feature inventory'!$E$5:$E$99,"Partial")</f>
        <v>0</v>
      </c>
      <c r="D27" s="34" t="n">
        <f aca="false">B27+C27</f>
        <v>7</v>
      </c>
    </row>
    <row r="28" customFormat="false" ht="15" hidden="false" customHeight="true" outlineLevel="0" collapsed="false">
      <c r="A28" s="37" t="s">
        <v>483</v>
      </c>
      <c r="B28" s="25" t="n">
        <f aca="false">COUNTIFS('Feature inventory'!$F$5:$F$99,$A28,'Feature inventory'!$E$5:$E$99,"Not yet")</f>
        <v>0</v>
      </c>
      <c r="C28" s="25" t="n">
        <f aca="false">COUNTIFS('Feature inventory'!$F$5:$F$99,$A28,'Feature inventory'!$E$5:$E$99,"Partial")</f>
        <v>0</v>
      </c>
      <c r="D28" s="34" t="n">
        <f aca="false">B28+C28</f>
        <v>0</v>
      </c>
    </row>
    <row r="30" customFormat="false" ht="15" hidden="false" customHeight="true" outlineLevel="0" collapsed="false">
      <c r="A30" s="13" t="s">
        <v>484</v>
      </c>
      <c r="B30" s="13"/>
      <c r="C30" s="13"/>
      <c r="D30" s="13"/>
      <c r="E30" s="13"/>
      <c r="F30" s="13"/>
      <c r="G30" s="13"/>
    </row>
    <row r="31" customFormat="false" ht="15" hidden="false" customHeight="true" outlineLevel="0" collapsed="false">
      <c r="A31" s="13"/>
      <c r="B31" s="13"/>
      <c r="C31" s="13"/>
      <c r="D31" s="13"/>
      <c r="E31" s="13"/>
      <c r="F31" s="13"/>
      <c r="G31" s="13"/>
    </row>
  </sheetData>
  <mergeCells count="3">
    <mergeCell ref="A1:G1"/>
    <mergeCell ref="A2:G2"/>
    <mergeCell ref="A30:G31"/>
  </mergeCells>
  <conditionalFormatting sqref="B5:B8">
    <cfRule type="dataBar" priority="2">
      <dataBar showValue="1" minLength="10" maxLength="90">
        <cfvo type="num" val="0"/>
        <cfvo type="max" val="0"/>
        <color rgb="FF0E8A8F"/>
      </dataBar>
      <extLst>
        <ext xmlns:x14="http://schemas.microsoft.com/office/spreadsheetml/2009/9/main" uri="{B025F937-C7B1-47D3-B67F-A62EFF666E3E}">
          <x14:id>{4DF9C5F8-4FCD-44C9-AC2B-6C12835CBC55}</x14:id>
        </ext>
      </extLst>
    </cfRule>
  </conditionalFormatting>
  <conditionalFormatting sqref="G13:G21">
    <cfRule type="dataBar" priority="3">
      <dataBar showValue="1" minLength="10" maxLength="90">
        <cfvo type="num" val="0"/>
        <cfvo type="num" val="1"/>
        <color rgb="FF1B7A45"/>
      </dataBar>
      <extLst>
        <ext xmlns:x14="http://schemas.microsoft.com/office/spreadsheetml/2009/9/main" uri="{B025F937-C7B1-47D3-B67F-A62EFF666E3E}">
          <x14:id>{E3DBD7B4-5761-4E79-8D94-1450EEBFAA51}</x14:id>
        </ext>
      </extLst>
    </cfRule>
  </conditionalFormatting>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DF9C5F8-4FCD-44C9-AC2B-6C12835CBC55}">
            <x14:dataBar minLength="10" maxLength="90" axisPosition="none" gradient="true">
              <x14:cfvo type="num">
                <xm:f>0</xm:f>
              </x14:cfvo>
              <x14:cfvo type="max"/>
              <x14:negativeFillColor rgb="FF0E8A8F"/>
              <x14:axisColor rgb="FF000000"/>
            </x14:dataBar>
          </x14:cfRule>
          <xm:sqref>B5:B8</xm:sqref>
        </x14:conditionalFormatting>
        <x14:conditionalFormatting xmlns:xm="http://schemas.microsoft.com/office/excel/2006/main">
          <x14:cfRule type="dataBar" id="{E3DBD7B4-5761-4E79-8D94-1450EEBFAA51}">
            <x14:dataBar minLength="10" maxLength="90" axisPosition="none" gradient="true">
              <x14:cfvo type="num">
                <xm:f>0</xm:f>
              </x14:cfvo>
              <x14:cfvo type="num">
                <xm:f>1</xm:f>
              </x14:cfvo>
              <x14:negativeFillColor rgb="FF1B7A45"/>
              <x14:axisColor rgb="FF000000"/>
            </x14:dataBar>
          </x14:cfRule>
          <xm:sqref>G13:G21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2026-10-17T21:45:40Z</dcterms:created>
  <dc:creator>openpyxl</dc:creator>
  <dc:description/>
  <dc:language>en-US</dc:language>
  <cp:lastModifiedBy/>
  <dcterms:modified xsi:type="dcterms:W3CDTF">2026-10-26T00:53:35Z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